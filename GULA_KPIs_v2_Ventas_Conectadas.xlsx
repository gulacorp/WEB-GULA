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⚙️ Control" sheetId="1" state="visible" r:id="rId3"/>
    <sheet name="📅 Ventas Mensuales" sheetId="2" state="visible" r:id="rId4"/>
    <sheet name="📋 Instrucciones" sheetId="3" state="visible" r:id="rId5"/>
    <sheet name="🏪 Datos Tiendas" sheetId="4" state="visible" r:id="rId6"/>
    <sheet name="📈 KPIs Customer Journey" sheetId="5" state="visible" r:id="rId7"/>
    <sheet name="📊 Resumen Global" sheetId="6" state="visible" r:id="rId8"/>
    <sheet name="🚨 Panel de Alerta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<sst xmlns="http://schemas.openxmlformats.org/spreadsheetml/2006/main" count="727" uniqueCount="333">
  <si>
    <t xml:space="preserve">⚙️  CONTROL CENTRAL — GULA KPIs   ·   Cambia el mes para actualizar todo</t>
  </si>
  <si>
    <t xml:space="preserve">📅  MES ACTIVO →</t>
  </si>
  <si>
    <t xml:space="preserve">Feb 2026</t>
  </si>
  <si>
    <t xml:space="preserve">👈  Selecciona aquí el mes. Todos los datos de ventas y ratios se recalculan solos.</t>
  </si>
  <si>
    <t xml:space="preserve">  📋  CÓMO ACTUALIZAR CADA MES</t>
  </si>
  <si>
    <t xml:space="preserve">1. Ir a '📅 Ventas Mensuales'</t>
  </si>
  <si>
    <t xml:space="preserve">Añade 4 filas al final de la tabla (una por tienda) con los datos del nuevo mes.</t>
  </si>
  <si>
    <t xml:space="preserve">2. Cambiar Mes Activo aquí (C3)</t>
  </si>
  <si>
    <t xml:space="preserve">Todo: ventas, ratios sala/delivery y alertas se recalculan automáticamente.</t>
  </si>
  <si>
    <t xml:space="preserve">3. Revisar '📊 Resumen Global'</t>
  </si>
  <si>
    <t xml:space="preserve">Compara las 4 tiendas y ve la evolución del mes.</t>
  </si>
  <si>
    <t xml:space="preserve">4. Actualizar KPIs operativos</t>
  </si>
  <si>
    <t xml:space="preserve">En '📈 KPIs Customer Journey' actualiza manualmente tasas de error, ratings, etc.</t>
  </si>
  <si>
    <t xml:space="preserve">5. Ver '🚨 Panel de Alertas'</t>
  </si>
  <si>
    <t xml:space="preserve">Semáforos automáticos — actúa sobre los rojos.</t>
  </si>
  <si>
    <t xml:space="preserve">  🎨  CÓDIGO DE COLORES</t>
  </si>
  <si>
    <t xml:space="preserve">Celda amarilla 🟡</t>
  </si>
  <si>
    <t xml:space="preserve">EDITABLE — datos que introduces tú.</t>
  </si>
  <si>
    <t xml:space="preserve">Celda gris 🔘</t>
  </si>
  <si>
    <t xml:space="preserve">FÓRMULA — se calcula sola. No tocar.</t>
  </si>
  <si>
    <t xml:space="preserve">Texto azul oscuro</t>
  </si>
  <si>
    <t xml:space="preserve">Valor hardcoded / input manual.</t>
  </si>
  <si>
    <t xml:space="preserve">Texto verde oscuro</t>
  </si>
  <si>
    <t xml:space="preserve">Dato vinculado a ventas reales.</t>
  </si>
  <si>
    <t xml:space="preserve">📅  VENTAS MENSUALES — Datos Reales por Tienda   |   Añade filas nuevas cada mes al final</t>
  </si>
  <si>
    <t xml:space="preserve">MES</t>
  </si>
  <si>
    <t xml:space="preserve">TIENDA</t>
  </si>
  <si>
    <t xml:space="preserve">SALA / ÁGORA (€)</t>
  </si>
  <si>
    <t xml:space="preserve">UBER / DELIVERY (€)</t>
  </si>
  <si>
    <t xml:space="preserve">TOTAL (€)</t>
  </si>
  <si>
    <t xml:space="preserve">% SALA</t>
  </si>
  <si>
    <t xml:space="preserve">% DELIVERY</t>
  </si>
  <si>
    <t xml:space="preserve">NOTAS</t>
  </si>
  <si>
    <t xml:space="preserve">Mar 2025</t>
  </si>
  <si>
    <t xml:space="preserve">Móstoles</t>
  </si>
  <si>
    <t xml:space="preserve">Valencia</t>
  </si>
  <si>
    <t xml:space="preserve">Cartagena</t>
  </si>
  <si>
    <t xml:space="preserve">Sevilla</t>
  </si>
  <si>
    <t xml:space="preserve">Abr 2025</t>
  </si>
  <si>
    <t xml:space="preserve">May 2025</t>
  </si>
  <si>
    <t xml:space="preserve">Jun 2025</t>
  </si>
  <si>
    <t xml:space="preserve">Jul 2025</t>
  </si>
  <si>
    <t xml:space="preserve">Ago 2025</t>
  </si>
  <si>
    <t xml:space="preserve">Sep 2025</t>
  </si>
  <si>
    <t xml:space="preserve">Oct 2025</t>
  </si>
  <si>
    <t xml:space="preserve">Nov 2025</t>
  </si>
  <si>
    <t xml:space="preserve">Dic 2025</t>
  </si>
  <si>
    <t xml:space="preserve">Ene 2026</t>
  </si>
  <si>
    <t xml:space="preserve">⬆️  AÑADE AQUÍ los datos del nuevo mes — columnas A (ej: 'Mar 2026') y B (ej: 'Móstoles') deben coincidir exactamente con los valores del selector.</t>
  </si>
  <si>
    <t xml:space="preserve">📋  KPIs Customer Journey — GULA 4 Tiendas</t>
  </si>
  <si>
    <t xml:space="preserve">🗂️  ESTRUCTURA DEL DOCUMENTO</t>
  </si>
  <si>
    <t xml:space="preserve">Hoja</t>
  </si>
  <si>
    <t xml:space="preserve">Descripción</t>
  </si>
  <si>
    <t xml:space="preserve">📊 Resumen Global</t>
  </si>
  <si>
    <t xml:space="preserve">Vista comparativa de las 4 tiendas con KPIs calculados automáticamente.</t>
  </si>
  <si>
    <t xml:space="preserve">🏪 Datos Tiendas</t>
  </si>
  <si>
    <t xml:space="preserve">👉 AQUÍ SE ACTUALIZAN LOS DATOS. Introduce los valores reales de cada tienda. Las celdas amarillas son editables.</t>
  </si>
  <si>
    <t xml:space="preserve">📈 KPIs Customer Journey</t>
  </si>
  <si>
    <t xml:space="preserve">Tabla con todos los KPIs por fase y tienda. Actualiza valor actual y fecha. Las fórmulas de estado se calculan solas.</t>
  </si>
  <si>
    <t xml:space="preserve">🚨 Panel de Alertas</t>
  </si>
  <si>
    <t xml:space="preserve">Alertas automáticas basadas en los umbrales definidos. Se actualiza al cambiar datos.</t>
  </si>
  <si>
    <t xml:space="preserve">🎨  CÓDIGO DE COLORES</t>
  </si>
  <si>
    <t xml:space="preserve">Celda amarilla</t>
  </si>
  <si>
    <t xml:space="preserve">EDITABLE — introduce aquí los datos actualizados.</t>
  </si>
  <si>
    <t xml:space="preserve">Celda gris claro</t>
  </si>
  <si>
    <t xml:space="preserve">FÓRMULA — calculada automáticamente. No editar.</t>
  </si>
  <si>
    <t xml:space="preserve">Texto negro</t>
  </si>
  <si>
    <t xml:space="preserve">Fórmula calculada.</t>
  </si>
  <si>
    <t xml:space="preserve">🚦  ESTADOS DE KPI</t>
  </si>
  <si>
    <t xml:space="preserve">✅ OK</t>
  </si>
  <si>
    <t xml:space="preserve">Valor dentro del objetivo.</t>
  </si>
  <si>
    <t xml:space="preserve">⚠️ ATENCIÓN</t>
  </si>
  <si>
    <t xml:space="preserve">Valor próximo al límite, requiere seguimiento.</t>
  </si>
  <si>
    <t xml:space="preserve">🚨 CRÍTICO</t>
  </si>
  <si>
    <t xml:space="preserve">Valor fuera del objetivo, acción urgente.</t>
  </si>
  <si>
    <t xml:space="preserve">⬜ SIN DATOS</t>
  </si>
  <si>
    <t xml:space="preserve">Dato pendiente de instrumentar o recopilar.</t>
  </si>
  <si>
    <t xml:space="preserve">📅  FRECUENCIA DE ACTUALIZACIÓN</t>
  </si>
  <si>
    <t xml:space="preserve">Semanal</t>
  </si>
  <si>
    <t xml:space="preserve">Ventas delivery semanales, coste marketing.</t>
  </si>
  <si>
    <t xml:space="preserve">Mensual</t>
  </si>
  <si>
    <t xml:space="preserve">Ratio sala/delivery, ventas sala mensuales, KPIs operativos.</t>
  </si>
  <si>
    <t xml:space="preserve">Puntual</t>
  </si>
  <si>
    <t xml:space="preserve">Miembros Club Gula, KPIs de identificación y vinculación.</t>
  </si>
  <si>
    <t xml:space="preserve">🏪  DATOS BASE — 4 TIENDAS GULA   ·   Última actualización: ____________</t>
  </si>
  <si>
    <t xml:space="preserve">📝 Celdas AMARILLAS = editables  |  Celdas VERDES = vinculadas a Ventas Mensuales  |  Cambia el mes en ⚙️ Control</t>
  </si>
  <si>
    <t xml:space="preserve">CAMPO</t>
  </si>
  <si>
    <t xml:space="preserve">PROMEDIO RED</t>
  </si>
  <si>
    <t xml:space="preserve">OBJETIVO RED</t>
  </si>
  <si>
    <t xml:space="preserve">  1.  DATOS GENERALES Y TIER</t>
  </si>
  <si>
    <t xml:space="preserve">Tier actual</t>
  </si>
  <si>
    <t xml:space="preserve">Tier 3</t>
  </si>
  <si>
    <t xml:space="preserve">Tier 1/2</t>
  </si>
  <si>
    <t xml:space="preserve">Tier 3+</t>
  </si>
  <si>
    <t xml:space="preserve">Tier 2</t>
  </si>
  <si>
    <t xml:space="preserve">Tier objetivo</t>
  </si>
  <si>
    <t xml:space="preserve">Tier 2 → Tier 1</t>
  </si>
  <si>
    <t xml:space="preserve">Tier 1 (consolidar)</t>
  </si>
  <si>
    <t xml:space="preserve">Tier 3 (30% sala)</t>
  </si>
  <si>
    <t xml:space="preserve">Tier 1</t>
  </si>
  <si>
    <t xml:space="preserve">Estado (OK / ATENCIÓN / CRÍTICO)</t>
  </si>
  <si>
    <t xml:space="preserve">ATENCIÓN</t>
  </si>
  <si>
    <t xml:space="preserve">OK</t>
  </si>
  <si>
    <t xml:space="preserve">CRÍTICO</t>
  </si>
  <si>
    <t xml:space="preserve">  2.  RATIO SALA / DELIVERY  (%)</t>
  </si>
  <si>
    <t xml:space="preserve">% Sala — anual</t>
  </si>
  <si>
    <t xml:space="preserve">Ref: ≥50% (Tier 2)</t>
  </si>
  <si>
    <t xml:space="preserve">% Delivery — anual</t>
  </si>
  <si>
    <t xml:space="preserve">  % Sala — mes activo (calculado de ventas reales)</t>
  </si>
  <si>
    <t xml:space="preserve">  % Delivery — mes activo (calculado de ventas reales)</t>
  </si>
  <si>
    <t xml:space="preserve">🎯 OBJETIVO sala — 30 mayo</t>
  </si>
  <si>
    <t xml:space="preserve">  Gap vs objetivo (pp a recuperar)</t>
  </si>
  <si>
    <t xml:space="preserve">→ Menor = mejor</t>
  </si>
  <si>
    <t xml:space="preserve">  3.  COSTES Y MÁRGENES DELIVERY  (%)</t>
  </si>
  <si>
    <t xml:space="preserve">Coste marketing delivery (% s/ventas brutas)</t>
  </si>
  <si>
    <t xml:space="preserve">Obj red: ≤22%</t>
  </si>
  <si>
    <t xml:space="preserve">Margen neto delivery (%)</t>
  </si>
  <si>
    <t xml:space="preserve">Obj: ≥55%</t>
  </si>
  <si>
    <t xml:space="preserve">  4.  VENTAS  (€)   —   ✅ Vinculadas a Ventas Mensuales</t>
  </si>
  <si>
    <t xml:space="preserve">Ventas delivery semanales (€ estimado)</t>
  </si>
  <si>
    <t xml:space="preserve">≈ mensual / 4.3 semanas</t>
  </si>
  <si>
    <t xml:space="preserve">Ventas delivery mensuales (€)</t>
  </si>
  <si>
    <t xml:space="preserve">Total red</t>
  </si>
  <si>
    <t xml:space="preserve">Ventas sala mensuales (€)</t>
  </si>
  <si>
    <t xml:space="preserve">  Ventas totales mensuales (sala + delivery) (€)</t>
  </si>
  <si>
    <t xml:space="preserve">  5.  KPIs CORPORATIVOS (gestionados por Central)</t>
  </si>
  <si>
    <t xml:space="preserve">  Followers Instagram (total red)</t>
  </si>
  <si>
    <t xml:space="preserve">n/d — pendiente instrumentar</t>
  </si>
  <si>
    <t xml:space="preserve">Obj: +10% (30 mayo)</t>
  </si>
  <si>
    <t xml:space="preserve">  Miembros Club Gula (acumulado red)</t>
  </si>
  <si>
    <t xml:space="preserve">Obj: ≥100/tienda (30 mayo)</t>
  </si>
  <si>
    <t xml:space="preserve">  % pedidos canal propio (toda la red)</t>
  </si>
  <si>
    <t xml:space="preserve">~0%</t>
  </si>
  <si>
    <t xml:space="preserve">Obj: 5% en 6 meses</t>
  </si>
  <si>
    <t xml:space="preserve">📈  KPIs CUSTOMER JOURNEY — GULA   ·   7 Fases · 4 Tiendas</t>
  </si>
  <si>
    <t xml:space="preserve">📝 Actualiza las columnas VALOR ACTUAL, PROGRESO % y FECHA. El ESTADO se calcula solo. Celdas amarillas = editables.</t>
  </si>
  <si>
    <t xml:space="preserve">FASE</t>
  </si>
  <si>
    <t xml:space="preserve">KPI</t>
  </si>
  <si>
    <t xml:space="preserve">VALOR ACTUAL</t>
  </si>
  <si>
    <t xml:space="preserve">OBJETIVO</t>
  </si>
  <si>
    <t xml:space="preserve">PROGRESO %</t>
  </si>
  <si>
    <t xml:space="preserve">ESTADO</t>
  </si>
  <si>
    <t xml:space="preserve">RESPONSABLE</t>
  </si>
  <si>
    <t xml:space="preserve">FECHA ACTUALIZ.</t>
  </si>
  <si>
    <t xml:space="preserve">1. Captación</t>
  </si>
  <si>
    <t xml:space="preserve">Tasa conversión menú (vistas→pedidos)</t>
  </si>
  <si>
    <t xml:space="preserve">5%</t>
  </si>
  <si>
    <t xml:space="preserve">≥8%</t>
  </si>
  <si>
    <t xml:space="preserve">Central</t>
  </si>
  <si>
    <t xml:space="preserve">36.2K vistas, 247 pedidos (Uber Sevilla)</t>
  </si>
  <si>
    <t xml:space="preserve">n/d</t>
  </si>
  <si>
    <t xml:space="preserve">Pendiente extraer de dashboard Uber/Glovo</t>
  </si>
  <si>
    <t xml:space="preserve">Coste marketing delivery (% s/ventas)</t>
  </si>
  <si>
    <t xml:space="preserve">19%</t>
  </si>
  <si>
    <t xml:space="preserve">≤20%</t>
  </si>
  <si>
    <t xml:space="preserve">Compartido</t>
  </si>
  <si>
    <t xml:space="preserve">Mejor ratio red — benchmark interno</t>
  </si>
  <si>
    <t xml:space="preserve">24%</t>
  </si>
  <si>
    <t xml:space="preserve">Margen correcto, con recorrido a bajar</t>
  </si>
  <si>
    <t xml:space="preserve">43%</t>
  </si>
  <si>
    <t xml:space="preserve">≤25% (6m)→≤20%</t>
  </si>
  <si>
    <t xml:space="preserve">CRÍTICO — insostenible a largo plazo</t>
  </si>
  <si>
    <t xml:space="preserve">42%</t>
  </si>
  <si>
    <t xml:space="preserve">Apertura — requiere plan bajada a 6 meses</t>
  </si>
  <si>
    <t xml:space="preserve">Todas</t>
  </si>
  <si>
    <t xml:space="preserve">CPO — coste por pedido (€)</t>
  </si>
  <si>
    <t xml:space="preserve">≤€1.80</t>
  </si>
  <si>
    <t xml:space="preserve">Requiere nº pedidos desde plataforma</t>
  </si>
  <si>
    <t xml:space="preserve">% pedidos con promoción vs orgánicos</t>
  </si>
  <si>
    <t xml:space="preserve">Medir semanalmente</t>
  </si>
  <si>
    <t xml:space="preserve">Disponible en dashboard Uber/Glovo</t>
  </si>
  <si>
    <t xml:space="preserve">2. Primera Experiencia</t>
  </si>
  <si>
    <t xml:space="preserve">Tasa de errores (chargebacks/pedidos)</t>
  </si>
  <si>
    <t xml:space="preserve">8.3%</t>
  </si>
  <si>
    <t xml:space="preserve">&lt;5%</t>
  </si>
  <si>
    <t xml:space="preserve">Franquiciado</t>
  </si>
  <si>
    <t xml:space="preserve">CRÍTICO — 22 pedidos con error (Uber Sevilla)</t>
  </si>
  <si>
    <t xml:space="preserve">Disponible en panel Uber/Glovo</t>
  </si>
  <si>
    <t xml:space="preserve">Unfulfilled rate (pedidos no completados)</t>
  </si>
  <si>
    <t xml:space="preserve">1.85%</t>
  </si>
  <si>
    <t xml:space="preserve">&lt;0.8%</t>
  </si>
  <si>
    <t xml:space="preserve">5 pedidos perdidos — 80% timeout</t>
  </si>
  <si>
    <t xml:space="preserve">Dashboard Uber → mensual</t>
  </si>
  <si>
    <t xml:space="preserve">Avoidable courier wait time</t>
  </si>
  <si>
    <t xml:space="preserve">1m 12s</t>
  </si>
  <si>
    <t xml:space="preserve">&lt;45 seg</t>
  </si>
  <si>
    <t xml:space="preserve">Afecta al 14.8% de pedidos</t>
  </si>
  <si>
    <t xml:space="preserve">Rating medio plataforma (Uber/Glovo ⭐)</t>
  </si>
  <si>
    <t xml:space="preserve">≥4.5 ⭐</t>
  </si>
  <si>
    <t xml:space="preserve">Instrumentar — proxy de calidad percibida</t>
  </si>
  <si>
    <t xml:space="preserve">Net chargeback amount (€ perdidos/mes)</t>
  </si>
  <si>
    <t xml:space="preserve">€167</t>
  </si>
  <si>
    <t xml:space="preserve">&lt;€50/mes</t>
  </si>
  <si>
    <t xml:space="preserve">Coste directo + penalización ranking</t>
  </si>
  <si>
    <t xml:space="preserve">3. Identificación</t>
  </si>
  <si>
    <t xml:space="preserve">Miembros Club Gula registrados</t>
  </si>
  <si>
    <t xml:space="preserve">0</t>
  </si>
  <si>
    <t xml:space="preserve">≥100 · Due: 30 mayo</t>
  </si>
  <si>
    <t xml:space="preserve">Test piloto Móstoles — escalar al resto</t>
  </si>
  <si>
    <t xml:space="preserve">Tasa conversión anónimo → Club Gula</t>
  </si>
  <si>
    <t xml:space="preserve">≥10% en 6 meses</t>
  </si>
  <si>
    <t xml:space="preserve">Sin QR activo aún</t>
  </si>
  <si>
    <t xml:space="preserve">Coste de identificación (€/nuevo miembro)</t>
  </si>
  <si>
    <t xml:space="preserve">≤€3 por registro</t>
  </si>
  <si>
    <t xml:space="preserve">Benchmark: cupón bienvenida</t>
  </si>
  <si>
    <t xml:space="preserve">Tiempo hasta identificación (días desde 1er pedido)</t>
  </si>
  <si>
    <t xml:space="preserve">≤7 días</t>
  </si>
  <si>
    <t xml:space="preserve">Requiere QR en packaging</t>
  </si>
  <si>
    <t xml:space="preserve">4. Entrada Ecosistema</t>
  </si>
  <si>
    <t xml:space="preserve">Open rate comunicaciones bienvenida (WhatsApp)</t>
  </si>
  <si>
    <t xml:space="preserve">≥40%</t>
  </si>
  <si>
    <t xml:space="preserve">Requiere activación chatbot Thomas</t>
  </si>
  <si>
    <t xml:space="preserve">% miembros con 2.º pedido en canal propio</t>
  </si>
  <si>
    <t xml:space="preserve">≥20%</t>
  </si>
  <si>
    <t xml:space="preserve">KPI clave de transición</t>
  </si>
  <si>
    <t xml:space="preserve">Tiempo hasta 1er pedido fuera plataforma (días)</t>
  </si>
  <si>
    <t xml:space="preserve">≤21 días</t>
  </si>
  <si>
    <t xml:space="preserve">Desde registro al Club Gula</t>
  </si>
  <si>
    <t xml:space="preserve">% clientes que conocen el canal propio</t>
  </si>
  <si>
    <t xml:space="preserve">Encuesta mensual</t>
  </si>
  <si>
    <t xml:space="preserve">Encuesta en registro al Club</t>
  </si>
  <si>
    <t xml:space="preserve">5. Migración Sala/Canal</t>
  </si>
  <si>
    <t xml:space="preserve">% ventas sala vs delivery (ratio actual)</t>
  </si>
  <si>
    <t xml:space="preserve">52%</t>
  </si>
  <si>
    <t xml:space="preserve">70% sala · 30 mayo</t>
  </si>
  <si>
    <t xml:space="preserve">Diferencia: 18pp para objetivo</t>
  </si>
  <si>
    <t xml:space="preserve">68%</t>
  </si>
  <si>
    <t xml:space="preserve">Casi en objetivo — consolidar</t>
  </si>
  <si>
    <t xml:space="preserve">30% sala · 30 mayo</t>
  </si>
  <si>
    <t xml:space="preserve">Sala muy limitada — reto físico</t>
  </si>
  <si>
    <t xml:space="preserve">55%</t>
  </si>
  <si>
    <t xml:space="preserve">Buen arranque en apertura</t>
  </si>
  <si>
    <t xml:space="preserve">€4.710</t>
  </si>
  <si>
    <t xml:space="preserve">≥€7.000/mes</t>
  </si>
  <si>
    <t xml:space="preserve">€10.780</t>
  </si>
  <si>
    <t xml:space="preserve">≥€12.000/mes</t>
  </si>
  <si>
    <t xml:space="preserve">€722</t>
  </si>
  <si>
    <t xml:space="preserve">≥€2.000/mes</t>
  </si>
  <si>
    <t xml:space="preserve">Feb 2026 — CRÍTICO</t>
  </si>
  <si>
    <t xml:space="preserve">€4.056</t>
  </si>
  <si>
    <t xml:space="preserve">≥€5.000/mes</t>
  </si>
  <si>
    <t xml:space="preserve">% pedidos fuera de plataforma (canal propio)</t>
  </si>
  <si>
    <t xml:space="preserve">5% en 6m / 20% en 18m</t>
  </si>
  <si>
    <t xml:space="preserve">Baseline con chatbot Thomas</t>
  </si>
  <si>
    <t xml:space="preserve">GMV canal propio semanal</t>
  </si>
  <si>
    <t xml:space="preserve">≥€300/sem</t>
  </si>
  <si>
    <t xml:space="preserve">Pendiente activación chatbot</t>
  </si>
  <si>
    <t xml:space="preserve">≥€250/sem</t>
  </si>
  <si>
    <t xml:space="preserve">≥€150/sem</t>
  </si>
  <si>
    <t xml:space="preserve">6. Recurrencia</t>
  </si>
  <si>
    <t xml:space="preserve">Frecuencia de compra (pedidos/cliente/mes)</t>
  </si>
  <si>
    <t xml:space="preserve">≥1.5 pedidos/mes</t>
  </si>
  <si>
    <t xml:space="preserve">Requiere Club Gula activo</t>
  </si>
  <si>
    <t xml:space="preserve">Tasa recompra 30 días (clientes que repiten)</t>
  </si>
  <si>
    <t xml:space="preserve">Segmentar en Uber</t>
  </si>
  <si>
    <t xml:space="preserve">LTV estimado (€/cliente/año)</t>
  </si>
  <si>
    <t xml:space="preserve">&gt;€200/año</t>
  </si>
  <si>
    <t xml:space="preserve">Ticket ~€20–31 × frecuencia × meses</t>
  </si>
  <si>
    <t xml:space="preserve">Ventas delivery semanales (promedio 4 semanas, €)</t>
  </si>
  <si>
    <t xml:space="preserve">~€1.100</t>
  </si>
  <si>
    <t xml:space="preserve">≥€1.400/sem</t>
  </si>
  <si>
    <t xml:space="preserve">Dato estimado</t>
  </si>
  <si>
    <t xml:space="preserve">~€1.276</t>
  </si>
  <si>
    <t xml:space="preserve">≥€1.500/sem</t>
  </si>
  <si>
    <t xml:space="preserve">~€575</t>
  </si>
  <si>
    <t xml:space="preserve">≥€900/sem</t>
  </si>
  <si>
    <t xml:space="preserve">BAJO — caída vs Q4 2025</t>
  </si>
  <si>
    <t xml:space="preserve">~€1.310</t>
  </si>
  <si>
    <t xml:space="preserve">≥€1.600/sem</t>
  </si>
  <si>
    <t xml:space="preserve">60%</t>
  </si>
  <si>
    <t xml:space="preserve">≥60% mantener</t>
  </si>
  <si>
    <t xml:space="preserve">Benchmark interno — modelo</t>
  </si>
  <si>
    <t xml:space="preserve">≥58%</t>
  </si>
  <si>
    <t xml:space="preserve">Sólido</t>
  </si>
  <si>
    <t xml:space="preserve">40%</t>
  </si>
  <si>
    <t xml:space="preserve">≥50%</t>
  </si>
  <si>
    <t xml:space="preserve">Reducir coste marketing</t>
  </si>
  <si>
    <t xml:space="preserve">7. Vinculación</t>
  </si>
  <si>
    <t xml:space="preserve">Miembros activos Club Gula (acumulado)</t>
  </si>
  <si>
    <t xml:space="preserve">Programa pendiente lanzamiento</t>
  </si>
  <si>
    <t xml:space="preserve">Followers Instagram (crecimiento red)</t>
  </si>
  <si>
    <t xml:space="preserve">+10% · Due: 30 mayo</t>
  </si>
  <si>
    <t xml:space="preserve">Objetivo global — Central controla</t>
  </si>
  <si>
    <t xml:space="preserve">NPS estimado (recomendarías GULA)</t>
  </si>
  <si>
    <t xml:space="preserve">≥50</t>
  </si>
  <si>
    <t xml:space="preserve">Encuesta en web de registro</t>
  </si>
  <si>
    <t xml:space="preserve">% pedidos de miembros del Club</t>
  </si>
  <si>
    <t xml:space="preserve">≥15% del total</t>
  </si>
  <si>
    <t xml:space="preserve">Sin datos hasta lanzar programa</t>
  </si>
  <si>
    <t xml:space="preserve">Pedidos referidos (código de amigo)</t>
  </si>
  <si>
    <t xml:space="preserve">Trackear desde canal propio</t>
  </si>
  <si>
    <t xml:space="preserve">Sistema de referidos pendiente</t>
  </si>
  <si>
    <t xml:space="preserve">📊  RESUMEN GLOBAL — KPIs GULA 4 Tiendas   ·   Mes activo: ver ⚙️ Control</t>
  </si>
  <si>
    <t xml:space="preserve">⚡ Todos los valores se calculan automáticamente desde la hoja '🏪 Datos Tiendas'. No editar aquí.</t>
  </si>
  <si>
    <t xml:space="preserve">PROMEDIO / TOTAL RED</t>
  </si>
  <si>
    <t xml:space="preserve">  TIER Y RATIO SALA / DELIVERY</t>
  </si>
  <si>
    <t xml:space="preserve">% Sala anual</t>
  </si>
  <si>
    <t xml:space="preserve">% Sala — Feb 2026 (reciente)</t>
  </si>
  <si>
    <t xml:space="preserve">🎯 Objetivo sala — 30 mayo</t>
  </si>
  <si>
    <t xml:space="preserve">Gap vs objetivo (pp a recuperar)</t>
  </si>
  <si>
    <t xml:space="preserve">  COSTES Y MÁRGENES DELIVERY</t>
  </si>
  <si>
    <t xml:space="preserve">Coste marketing delivery (%)</t>
  </si>
  <si>
    <t xml:space="preserve">  VENTAS</t>
  </si>
  <si>
    <t xml:space="preserve">Ventas delivery semanales (€)</t>
  </si>
  <si>
    <t xml:space="preserve">Ventas totales mensuales (€)</t>
  </si>
  <si>
    <t xml:space="preserve">🚨  PANEL DE ALERTAS — Calculado automáticamente desde Datos Tiendas</t>
  </si>
  <si>
    <t xml:space="preserve">Los semáforos se actualizan solos al cambiar los datos en '🏪 Datos Tiendas'</t>
  </si>
  <si>
    <t xml:space="preserve">ALERTA</t>
  </si>
  <si>
    <t xml:space="preserve">UMBRAL</t>
  </si>
  <si>
    <t xml:space="preserve">ACCIÓN</t>
  </si>
  <si>
    <t xml:space="preserve">Coste marketing delivery</t>
  </si>
  <si>
    <t xml:space="preserve">≤25% (6m)</t>
  </si>
  <si>
    <t xml:space="preserve">Revisar estructura descuentos Uber/Glovo URGENTE</t>
  </si>
  <si>
    <t xml:space="preserve">Plan bajada a 6 meses — normal en apertura</t>
  </si>
  <si>
    <t xml:space="preserve">Recorrido a bajar del 24% al 20%</t>
  </si>
  <si>
    <t xml:space="preserve">% Sala (gap objetivo 30 mayo)</t>
  </si>
  <si>
    <t xml:space="preserve">0pp idealmente</t>
  </si>
  <si>
    <t xml:space="preserve">Sala muy limitada — canal propio como alternativa</t>
  </si>
  <si>
    <t xml:space="preserve">Estacionalidad invernal — construir hábito sala</t>
  </si>
  <si>
    <t xml:space="preserve">Red entera</t>
  </si>
  <si>
    <t xml:space="preserve">Club Gula — miembros</t>
  </si>
  <si>
    <t xml:space="preserve">≥100/tienda</t>
  </si>
  <si>
    <t xml:space="preserve">Lanzar programa QR + landing urgente</t>
  </si>
  <si>
    <t xml:space="preserve">Unfulfilled rate</t>
  </si>
  <si>
    <t xml:space="preserve">Activar aceptación automática + reducir timeout</t>
  </si>
  <si>
    <t xml:space="preserve">Tasa errores (chargebacks)</t>
  </si>
  <si>
    <t xml:space="preserve">Implementar checklist embolsado + protocolo</t>
  </si>
  <si>
    <t xml:space="preserve">% pedidos canal propio</t>
  </si>
  <si>
    <t xml:space="preserve">5% en 6 meses</t>
  </si>
  <si>
    <t xml:space="preserve">Activar chatbot Thomas — test en Móstoles</t>
  </si>
  <si>
    <t xml:space="preserve">Ventas delivery (tendencia)</t>
  </si>
  <si>
    <t xml:space="preserve">~€575/sem</t>
  </si>
  <si>
    <t xml:space="preserve">Caída respecto Q4 2025 — revisar mix promo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</si>
</sst>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€#,##0.00"/>
    <numFmt numFmtId="166" formatCode="0.0%"/>
    <numFmt numFmtId="167" formatCode="0\%"/>
    <numFmt numFmtId="168" formatCode="0.0\%"/>
    <numFmt numFmtId="169" formatCode="\€#,##0"/>
    <numFmt numFmtId="170" formatCode="\€#,##0"/>
    <numFmt numFmtId="171" formatCode="General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3"/>
      <color rgb="FF1F2D40"/>
      <name val="Arial"/>
      <family val="0"/>
      <charset val="1"/>
    </font>
    <font>
      <b val="true"/>
      <sz val="14"/>
      <color rgb="FF000080"/>
      <name val="Arial"/>
      <family val="0"/>
      <charset val="1"/>
    </font>
    <font>
      <i val="true"/>
      <sz val="10"/>
      <color rgb="FF44444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2D40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8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i val="true"/>
      <sz val="9"/>
      <color rgb="FF444444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2D4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222222"/>
      <name val="Arial"/>
      <family val="0"/>
      <charset val="1"/>
    </font>
    <font>
      <sz val="10"/>
      <color rgb="FF222222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i val="true"/>
      <sz val="9"/>
      <color rgb="FF555555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000080"/>
      <name val="Arial"/>
      <family val="0"/>
      <charset val="1"/>
    </font>
    <font>
      <b val="true"/>
      <sz val="10"/>
      <color rgb="FF721C24"/>
      <name val="Arial"/>
      <family val="0"/>
      <charset val="1"/>
    </font>
    <font>
      <b val="true"/>
      <sz val="10"/>
      <color rgb="FF856404"/>
      <name val="Arial"/>
      <family val="0"/>
      <charset val="1"/>
    </font>
  </fonts>
  <fills count="21">
    <fill>
      <patternFill patternType="none"/>
    </fill>
    <fill>
      <patternFill patternType="gray125"/>
    </fill>
    <fill>
      <patternFill patternType="solid">
        <fgColor rgb="FF1F2D40"/>
        <bgColor rgb="FF333333"/>
      </patternFill>
    </fill>
    <fill>
      <patternFill patternType="solid">
        <fgColor rgb="FFFFF9E6"/>
        <bgColor rgb="FFFFF8E7"/>
      </patternFill>
    </fill>
    <fill>
      <patternFill patternType="solid">
        <fgColor rgb="FF2D5A8E"/>
        <bgColor rgb="FF374151"/>
      </patternFill>
    </fill>
    <fill>
      <patternFill patternType="solid">
        <fgColor rgb="FFE8F0FA"/>
        <bgColor rgb="FFE8F4F1"/>
      </patternFill>
    </fill>
    <fill>
      <patternFill patternType="solid">
        <fgColor rgb="FF1D9E75"/>
        <bgColor rgb="FF008080"/>
      </patternFill>
    </fill>
    <fill>
      <patternFill patternType="solid">
        <fgColor rgb="FFFFF3CD"/>
        <bgColor rgb="FFFFF8E7"/>
      </patternFill>
    </fill>
    <fill>
      <patternFill patternType="solid">
        <fgColor rgb="FFF0F4F8"/>
        <bgColor rgb="FFE8F4F1"/>
      </patternFill>
    </fill>
    <fill>
      <patternFill patternType="solid">
        <fgColor rgb="FFD4EDDA"/>
        <bgColor rgb="FFE9ECEF"/>
      </patternFill>
    </fill>
    <fill>
      <patternFill patternType="solid">
        <fgColor rgb="FFF8D7DA"/>
        <bgColor rgb="FFFDE8E1"/>
      </patternFill>
    </fill>
    <fill>
      <patternFill patternType="solid">
        <fgColor rgb="FFFFFDE7"/>
        <bgColor rgb="FFFFF9E6"/>
      </patternFill>
    </fill>
    <fill>
      <patternFill patternType="solid">
        <fgColor rgb="FF374151"/>
        <bgColor rgb="FF444444"/>
      </patternFill>
    </fill>
    <fill>
      <patternFill patternType="solid">
        <fgColor rgb="FFE8F4F1"/>
        <bgColor rgb="FFE8F0FA"/>
      </patternFill>
    </fill>
    <fill>
      <patternFill patternType="solid">
        <fgColor rgb="FFF0EEFF"/>
        <bgColor rgb="FFE8F0FA"/>
      </patternFill>
    </fill>
    <fill>
      <patternFill patternType="solid">
        <fgColor rgb="FFFFF8E7"/>
        <bgColor rgb="FFFFF9E6"/>
      </patternFill>
    </fill>
    <fill>
      <patternFill patternType="solid">
        <fgColor rgb="FFFDE8E1"/>
        <bgColor rgb="FFFCEAEA"/>
      </patternFill>
    </fill>
    <fill>
      <patternFill patternType="solid">
        <fgColor rgb="FFEBF5E0"/>
        <bgColor rgb="FFE8F4F1"/>
      </patternFill>
    </fill>
    <fill>
      <patternFill patternType="solid">
        <fgColor rgb="FFFDEEF4"/>
        <bgColor rgb="FFFCEAEA"/>
      </patternFill>
    </fill>
    <fill>
      <patternFill patternType="solid">
        <fgColor rgb="FFA32D2D"/>
        <bgColor rgb="FF721C24"/>
      </patternFill>
    </fill>
    <fill>
      <patternFill patternType="solid">
        <fgColor rgb="FFFCEAEA"/>
        <bgColor rgb="FFFDE8E1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777777"/>
      </left>
      <right style="medium">
        <color rgb="FF777777"/>
      </right>
      <top style="medium">
        <color rgb="FF777777"/>
      </top>
      <bottom style="medium">
        <color rgb="FF777777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0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3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9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1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11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8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13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4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3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12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2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b val="1"/>
        <color rgb="FF155724"/>
      </font>
      <fill>
        <patternFill>
          <bgColor rgb="FFD4EDDA"/>
        </patternFill>
      </fill>
    </dxf>
    <dxf>
      <font>
        <b val="1"/>
        <color rgb="FF856404"/>
      </font>
      <fill>
        <patternFill>
          <bgColor rgb="FFFFF3CD"/>
        </patternFill>
      </fill>
    </dxf>
    <dxf>
      <font>
        <b val="1"/>
        <color rgb="FF721C24"/>
      </font>
      <fill>
        <patternFill>
          <bgColor rgb="FFF8D7DA"/>
        </patternFill>
      </fill>
    </dxf>
    <dxf>
      <font>
        <b val="1"/>
        <color rgb="FF6C757D"/>
      </font>
      <fill>
        <patternFill>
          <bgColor rgb="FFE9ECE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EBF5E0"/>
      <rgbColor rgb="FFFF00FF"/>
      <rgbColor rgb="FF00FFFF"/>
      <rgbColor rgb="FF721C24"/>
      <rgbColor rgb="FF3B6D11"/>
      <rgbColor rgb="FF000080"/>
      <rgbColor rgb="FF856404"/>
      <rgbColor rgb="FF800080"/>
      <rgbColor rgb="FF008080"/>
      <rgbColor rgb="FFCCCCCC"/>
      <rgbColor rgb="FF888888"/>
      <rgbColor rgb="FFF0F4F8"/>
      <rgbColor rgb="FF555555"/>
      <rgbColor rgb="FFFFFDE7"/>
      <rgbColor rgb="FFE8F4F1"/>
      <rgbColor rgb="FF444444"/>
      <rgbColor rgb="FFFDEEF4"/>
      <rgbColor rgb="FF2D5A8E"/>
      <rgbColor rgb="FFE9ECEF"/>
      <rgbColor rgb="FF000080"/>
      <rgbColor rgb="FFFF00FF"/>
      <rgbColor rgb="FFFFF9E6"/>
      <rgbColor rgb="FF00FFFF"/>
      <rgbColor rgb="FF800080"/>
      <rgbColor rgb="FF800000"/>
      <rgbColor rgb="FF008080"/>
      <rgbColor rgb="FF0000FF"/>
      <rgbColor rgb="FF00CCFF"/>
      <rgbColor rgb="FFE8F0FA"/>
      <rgbColor rgb="FFD4EDDA"/>
      <rgbColor rgb="FFFFF3CD"/>
      <rgbColor rgb="FFF0EEFF"/>
      <rgbColor rgb="FFFDE8E1"/>
      <rgbColor rgb="FFFCEAEA"/>
      <rgbColor rgb="FFF8D7DA"/>
      <rgbColor rgb="FF5B50B8"/>
      <rgbColor rgb="FF33CCCC"/>
      <rgbColor rgb="FF99CC00"/>
      <rgbColor rgb="FFFFF8E7"/>
      <rgbColor rgb="FFFF9900"/>
      <rgbColor rgb="FFFF6600"/>
      <rgbColor rgb="FF6C757D"/>
      <rgbColor rgb="FF777777"/>
      <rgbColor rgb="FF1F2D40"/>
      <rgbColor rgb="FF1D9E75"/>
      <rgbColor rgb="FF155724"/>
      <rgbColor rgb="FF222222"/>
      <rgbColor rgb="FFA32D2D"/>
      <rgbColor rgb="FF666666"/>
      <rgbColor rgb="FF374151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0B8"/>
    <pageSetUpPr fitToPage="false"/>
  </sheetPr>
  <dimension ref="B1:D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50"/>
    <col collapsed="false" customWidth="true" hidden="false" outlineLevel="0" max="5" min="5" style="0" width="3"/>
  </cols>
  <sheetData>
    <row r="1" customFormat="false" ht="43.5" hidden="false" customHeight="true" outlineLevel="0" collapsed="false">
      <c r="B1" s="1" t="s">
        <v>0</v>
      </c>
      <c r="C1" s="1"/>
      <c r="D1" s="1"/>
    </row>
    <row r="2" customFormat="false" ht="12" hidden="false" customHeight="true" outlineLevel="0" collapsed="false"/>
    <row r="3" customFormat="false" ht="39.75" hidden="false" customHeight="true" outlineLevel="0" collapsed="false">
      <c r="B3" s="2" t="s">
        <v>1</v>
      </c>
      <c r="C3" s="3" t="s">
        <v>2</v>
      </c>
      <c r="D3" s="4" t="s">
        <v>3</v>
      </c>
    </row>
    <row r="4" customFormat="false" ht="12" hidden="false" customHeight="true" outlineLevel="0" collapsed="false"/>
    <row r="5" customFormat="false" ht="21.75" hidden="false" customHeight="true" outlineLevel="0" collapsed="false">
      <c r="B5" s="5" t="s">
        <v>4</v>
      </c>
      <c r="C5" s="5"/>
      <c r="D5" s="5"/>
    </row>
    <row r="6" customFormat="false" ht="21.75" hidden="false" customHeight="true" outlineLevel="0" collapsed="false">
      <c r="B6" s="6" t="s">
        <v>5</v>
      </c>
      <c r="C6" s="7" t="s">
        <v>6</v>
      </c>
      <c r="D6" s="7"/>
    </row>
    <row r="7" customFormat="false" ht="21.75" hidden="false" customHeight="true" outlineLevel="0" collapsed="false">
      <c r="B7" s="6" t="s">
        <v>7</v>
      </c>
      <c r="C7" s="7" t="s">
        <v>8</v>
      </c>
      <c r="D7" s="7"/>
    </row>
    <row r="8" customFormat="false" ht="21.75" hidden="false" customHeight="true" outlineLevel="0" collapsed="false">
      <c r="B8" s="6" t="s">
        <v>9</v>
      </c>
      <c r="C8" s="7" t="s">
        <v>10</v>
      </c>
      <c r="D8" s="7"/>
    </row>
    <row r="9" customFormat="false" ht="21.75" hidden="false" customHeight="true" outlineLevel="0" collapsed="false">
      <c r="B9" s="6" t="s">
        <v>11</v>
      </c>
      <c r="C9" s="7" t="s">
        <v>12</v>
      </c>
      <c r="D9" s="7"/>
    </row>
    <row r="10" customFormat="false" ht="21.75" hidden="false" customHeight="true" outlineLevel="0" collapsed="false">
      <c r="B10" s="6" t="s">
        <v>13</v>
      </c>
      <c r="C10" s="7" t="s">
        <v>14</v>
      </c>
      <c r="D10" s="7"/>
    </row>
    <row r="11" customFormat="false" ht="21.75" hidden="false" customHeight="true" outlineLevel="0" collapsed="false">
      <c r="B11" s="5" t="s">
        <v>15</v>
      </c>
      <c r="C11" s="5"/>
      <c r="D11" s="5"/>
    </row>
    <row r="12" customFormat="false" ht="21.75" hidden="false" customHeight="true" outlineLevel="0" collapsed="false">
      <c r="B12" s="6" t="s">
        <v>16</v>
      </c>
      <c r="C12" s="7" t="s">
        <v>17</v>
      </c>
      <c r="D12" s="7"/>
    </row>
    <row r="13" customFormat="false" ht="21.75" hidden="false" customHeight="true" outlineLevel="0" collapsed="false">
      <c r="B13" s="6" t="s">
        <v>18</v>
      </c>
      <c r="C13" s="7" t="s">
        <v>19</v>
      </c>
      <c r="D13" s="7"/>
    </row>
    <row r="14" customFormat="false" ht="21.75" hidden="false" customHeight="true" outlineLevel="0" collapsed="false">
      <c r="B14" s="6" t="s">
        <v>20</v>
      </c>
      <c r="C14" s="7" t="s">
        <v>21</v>
      </c>
      <c r="D14" s="7"/>
    </row>
    <row r="15" customFormat="false" ht="21.75" hidden="false" customHeight="true" outlineLevel="0" collapsed="false">
      <c r="B15" s="6" t="s">
        <v>22</v>
      </c>
      <c r="C15" s="7" t="s">
        <v>23</v>
      </c>
      <c r="D15" s="7"/>
    </row>
  </sheetData>
  <mergeCells count="12">
    <mergeCell ref="B1:D1"/>
    <mergeCell ref="B5:D5"/>
    <mergeCell ref="C6:D6"/>
    <mergeCell ref="C7:D7"/>
    <mergeCell ref="C8:D8"/>
    <mergeCell ref="C9:D9"/>
    <mergeCell ref="C10:D10"/>
    <mergeCell ref="B11:D11"/>
    <mergeCell ref="C12:D12"/>
    <mergeCell ref="C13:D13"/>
    <mergeCell ref="C14:D14"/>
    <mergeCell ref="C15:D15"/>
  </mergeCells>
  <dataValidations count="1">
    <dataValidation allowBlank="false" errorStyle="stop" operator="between" showDropDown="false" showErrorMessage="false" showInputMessage="false" sqref="C3" type="list">
      <formula1>"Mar 2025,Abr 2025,May 2025,Jun 2025,Jul 2025,Ago 2025,Sep 2025,Oct 2025,Nov 2025,Dic 2025,Ene 2026,Feb 2026"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9E75"/>
    <pageSetUpPr fitToPage="false"/>
  </sheetPr>
  <dimension ref="A1:H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5" min="3" style="0" width="18"/>
    <col collapsed="false" customWidth="true" hidden="false" outlineLevel="0" max="7" min="6" style="0" width="12"/>
    <col collapsed="false" customWidth="true" hidden="false" outlineLevel="0" max="8" min="8" style="0" width="25"/>
  </cols>
  <sheetData>
    <row r="1" customFormat="false" ht="36" hidden="false" customHeight="true" outlineLevel="0" collapsed="false">
      <c r="A1" s="8" t="s">
        <v>24</v>
      </c>
      <c r="B1" s="8"/>
      <c r="C1" s="8"/>
      <c r="D1" s="8"/>
      <c r="E1" s="8"/>
      <c r="F1" s="8"/>
      <c r="G1" s="8"/>
      <c r="H1" s="8"/>
    </row>
    <row r="2" customFormat="false" ht="24" hidden="false" customHeight="true" outlineLevel="0" collapsed="false">
      <c r="A2" s="9" t="s">
        <v>25</v>
      </c>
      <c r="B2" s="9" t="s">
        <v>26</v>
      </c>
      <c r="C2" s="9" t="s">
        <v>27</v>
      </c>
      <c r="D2" s="9" t="s">
        <v>28</v>
      </c>
      <c r="E2" s="9" t="s">
        <v>29</v>
      </c>
      <c r="F2" s="9" t="s">
        <v>30</v>
      </c>
      <c r="G2" s="9" t="s">
        <v>31</v>
      </c>
      <c r="H2" s="9" t="s">
        <v>32</v>
      </c>
    </row>
    <row r="3" customFormat="false" ht="19.5" hidden="false" customHeight="true" outlineLevel="0" collapsed="false">
      <c r="A3" s="10" t="s">
        <v>33</v>
      </c>
      <c r="B3" s="11" t="s">
        <v>34</v>
      </c>
      <c r="C3" s="12" t="n">
        <v>4160</v>
      </c>
      <c r="D3" s="12" t="n">
        <v>18406.09</v>
      </c>
      <c r="E3" s="12" t="n">
        <v>22566.09</v>
      </c>
      <c r="F3" s="13" t="n">
        <f aca="false">IFERROR(C3/E3,0)</f>
        <v>0.184347399128515</v>
      </c>
      <c r="G3" s="13" t="n">
        <f aca="false">IFERROR(D3/E3,0)</f>
        <v>0.815652600871485</v>
      </c>
      <c r="H3" s="14"/>
    </row>
    <row r="4" customFormat="false" ht="19.5" hidden="false" customHeight="true" outlineLevel="0" collapsed="false">
      <c r="A4" s="10" t="s">
        <v>33</v>
      </c>
      <c r="B4" s="15" t="s">
        <v>35</v>
      </c>
      <c r="C4" s="12" t="n">
        <v>14420</v>
      </c>
      <c r="D4" s="12" t="n">
        <v>24184.39</v>
      </c>
      <c r="E4" s="12" t="n">
        <v>38604.39</v>
      </c>
      <c r="F4" s="13" t="n">
        <f aca="false">IFERROR(C4/E4,0)</f>
        <v>0.37353264745279</v>
      </c>
      <c r="G4" s="13" t="n">
        <f aca="false">IFERROR(D4/E4,0)</f>
        <v>0.62646735254721</v>
      </c>
      <c r="H4" s="14"/>
    </row>
    <row r="5" customFormat="false" ht="19.5" hidden="false" customHeight="true" outlineLevel="0" collapsed="false">
      <c r="A5" s="10" t="s">
        <v>33</v>
      </c>
      <c r="B5" s="16" t="s">
        <v>36</v>
      </c>
      <c r="C5" s="12" t="n">
        <v>2480</v>
      </c>
      <c r="D5" s="12" t="n">
        <v>10431.4</v>
      </c>
      <c r="E5" s="12" t="n">
        <v>12911.4</v>
      </c>
      <c r="F5" s="13" t="n">
        <f aca="false">IFERROR(C5/E5,0)</f>
        <v>0.192078318385303</v>
      </c>
      <c r="G5" s="13" t="n">
        <f aca="false">IFERROR(D5/E5,0)</f>
        <v>0.807921681614697</v>
      </c>
      <c r="H5" s="14"/>
    </row>
    <row r="6" customFormat="false" ht="19.5" hidden="false" customHeight="true" outlineLevel="0" collapsed="false">
      <c r="A6" s="10" t="s">
        <v>33</v>
      </c>
      <c r="B6" s="11" t="s">
        <v>37</v>
      </c>
      <c r="C6" s="12" t="n">
        <v>0</v>
      </c>
      <c r="D6" s="12" t="n">
        <v>0</v>
      </c>
      <c r="E6" s="12" t="n">
        <v>0</v>
      </c>
      <c r="F6" s="13" t="n">
        <f aca="false">IFERROR(C6/E6,0)</f>
        <v>0</v>
      </c>
      <c r="G6" s="13" t="n">
        <f aca="false">IFERROR(D6/E6,0)</f>
        <v>0</v>
      </c>
      <c r="H6" s="14"/>
    </row>
    <row r="7" customFormat="false" ht="3.75" hidden="false" customHeight="true" outlineLevel="0" collapsed="false">
      <c r="A7" s="17"/>
      <c r="B7" s="17"/>
      <c r="C7" s="17"/>
      <c r="D7" s="17"/>
      <c r="E7" s="17"/>
      <c r="F7" s="17"/>
      <c r="G7" s="17"/>
      <c r="H7" s="17"/>
    </row>
    <row r="8" customFormat="false" ht="19.5" hidden="false" customHeight="true" outlineLevel="0" collapsed="false">
      <c r="A8" s="10" t="s">
        <v>38</v>
      </c>
      <c r="B8" s="11" t="s">
        <v>34</v>
      </c>
      <c r="C8" s="12" t="n">
        <v>4090</v>
      </c>
      <c r="D8" s="12" t="n">
        <v>12311.69</v>
      </c>
      <c r="E8" s="12" t="n">
        <v>16401.69</v>
      </c>
      <c r="F8" s="13" t="n">
        <f aca="false">IFERROR(C8/E8,0)</f>
        <v>0.249364547189954</v>
      </c>
      <c r="G8" s="13" t="n">
        <f aca="false">IFERROR(D8/E8,0)</f>
        <v>0.750635452810046</v>
      </c>
      <c r="H8" s="14"/>
    </row>
    <row r="9" customFormat="false" ht="19.5" hidden="false" customHeight="true" outlineLevel="0" collapsed="false">
      <c r="A9" s="10" t="s">
        <v>38</v>
      </c>
      <c r="B9" s="15" t="s">
        <v>35</v>
      </c>
      <c r="C9" s="12" t="n">
        <v>7380</v>
      </c>
      <c r="D9" s="12" t="n">
        <v>19146.59</v>
      </c>
      <c r="E9" s="12" t="n">
        <v>26526.59</v>
      </c>
      <c r="F9" s="13" t="n">
        <f aca="false">IFERROR(C9/E9,0)</f>
        <v>0.278211409759038</v>
      </c>
      <c r="G9" s="13" t="n">
        <f aca="false">IFERROR(D9/E9,0)</f>
        <v>0.721788590240962</v>
      </c>
      <c r="H9" s="14"/>
    </row>
    <row r="10" customFormat="false" ht="19.5" hidden="false" customHeight="true" outlineLevel="0" collapsed="false">
      <c r="A10" s="10" t="s">
        <v>38</v>
      </c>
      <c r="B10" s="16" t="s">
        <v>36</v>
      </c>
      <c r="C10" s="12" t="n">
        <v>2530</v>
      </c>
      <c r="D10" s="12" t="n">
        <v>9855.84</v>
      </c>
      <c r="E10" s="12" t="n">
        <v>12385.84</v>
      </c>
      <c r="F10" s="13" t="n">
        <f aca="false">IFERROR(C10/E10,0)</f>
        <v>0.204265516105488</v>
      </c>
      <c r="G10" s="13" t="n">
        <f aca="false">IFERROR(D10/E10,0)</f>
        <v>0.795734483894512</v>
      </c>
      <c r="H10" s="14"/>
    </row>
    <row r="11" customFormat="false" ht="19.5" hidden="false" customHeight="true" outlineLevel="0" collapsed="false">
      <c r="A11" s="10" t="s">
        <v>38</v>
      </c>
      <c r="B11" s="11" t="s">
        <v>37</v>
      </c>
      <c r="C11" s="12" t="n">
        <v>0</v>
      </c>
      <c r="D11" s="12" t="n">
        <v>0</v>
      </c>
      <c r="E11" s="12" t="n">
        <v>0</v>
      </c>
      <c r="F11" s="13" t="n">
        <f aca="false">IFERROR(C11/E11,0)</f>
        <v>0</v>
      </c>
      <c r="G11" s="13" t="n">
        <f aca="false">IFERROR(D11/E11,0)</f>
        <v>0</v>
      </c>
      <c r="H11" s="14"/>
    </row>
    <row r="12" customFormat="false" ht="3.75" hidden="false" customHeight="true" outlineLevel="0" collapsed="false">
      <c r="A12" s="17"/>
      <c r="B12" s="17"/>
      <c r="C12" s="17"/>
      <c r="D12" s="17"/>
      <c r="E12" s="17"/>
      <c r="F12" s="17"/>
      <c r="G12" s="17"/>
      <c r="H12" s="17"/>
    </row>
    <row r="13" customFormat="false" ht="19.5" hidden="false" customHeight="true" outlineLevel="0" collapsed="false">
      <c r="A13" s="10" t="s">
        <v>39</v>
      </c>
      <c r="B13" s="11" t="s">
        <v>34</v>
      </c>
      <c r="C13" s="12" t="n">
        <v>5760</v>
      </c>
      <c r="D13" s="12" t="n">
        <v>11106.9</v>
      </c>
      <c r="E13" s="12" t="n">
        <v>16866.9</v>
      </c>
      <c r="F13" s="13" t="n">
        <f aca="false">IFERROR(C13/E13,0)</f>
        <v>0.3414972520143</v>
      </c>
      <c r="G13" s="13" t="n">
        <f aca="false">IFERROR(D13/E13,0)</f>
        <v>0.6585027479857</v>
      </c>
      <c r="H13" s="14"/>
    </row>
    <row r="14" customFormat="false" ht="19.5" hidden="false" customHeight="true" outlineLevel="0" collapsed="false">
      <c r="A14" s="10" t="s">
        <v>39</v>
      </c>
      <c r="B14" s="15" t="s">
        <v>35</v>
      </c>
      <c r="C14" s="12" t="n">
        <v>9730</v>
      </c>
      <c r="D14" s="12" t="n">
        <v>11445.79</v>
      </c>
      <c r="E14" s="12" t="n">
        <v>21175.79</v>
      </c>
      <c r="F14" s="13" t="n">
        <f aca="false">IFERROR(C14/E14,0)</f>
        <v>0.459486989623528</v>
      </c>
      <c r="G14" s="13" t="n">
        <f aca="false">IFERROR(D14/E14,0)</f>
        <v>0.540513010376472</v>
      </c>
      <c r="H14" s="14"/>
    </row>
    <row r="15" customFormat="false" ht="19.5" hidden="false" customHeight="true" outlineLevel="0" collapsed="false">
      <c r="A15" s="10" t="s">
        <v>39</v>
      </c>
      <c r="B15" s="16" t="s">
        <v>36</v>
      </c>
      <c r="C15" s="12" t="n">
        <v>2190</v>
      </c>
      <c r="D15" s="12" t="n">
        <v>10196.78</v>
      </c>
      <c r="E15" s="12" t="n">
        <v>12386.78</v>
      </c>
      <c r="F15" s="13" t="n">
        <f aca="false">IFERROR(C15/E15,0)</f>
        <v>0.176801396327375</v>
      </c>
      <c r="G15" s="13" t="n">
        <f aca="false">IFERROR(D15/E15,0)</f>
        <v>0.823198603672625</v>
      </c>
      <c r="H15" s="14"/>
    </row>
    <row r="16" customFormat="false" ht="19.5" hidden="false" customHeight="true" outlineLevel="0" collapsed="false">
      <c r="A16" s="10" t="s">
        <v>39</v>
      </c>
      <c r="B16" s="11" t="s">
        <v>37</v>
      </c>
      <c r="C16" s="12" t="n">
        <v>0</v>
      </c>
      <c r="D16" s="12" t="n">
        <v>0</v>
      </c>
      <c r="E16" s="12" t="n">
        <v>0</v>
      </c>
      <c r="F16" s="13" t="n">
        <f aca="false">IFERROR(C16/E16,0)</f>
        <v>0</v>
      </c>
      <c r="G16" s="13" t="n">
        <f aca="false">IFERROR(D16/E16,0)</f>
        <v>0</v>
      </c>
      <c r="H16" s="14"/>
    </row>
    <row r="17" customFormat="false" ht="3.75" hidden="false" customHeight="true" outlineLevel="0" collapsed="false">
      <c r="A17" s="17"/>
      <c r="B17" s="17"/>
      <c r="C17" s="17"/>
      <c r="D17" s="17"/>
      <c r="E17" s="17"/>
      <c r="F17" s="17"/>
      <c r="G17" s="17"/>
      <c r="H17" s="17"/>
    </row>
    <row r="18" customFormat="false" ht="19.5" hidden="false" customHeight="true" outlineLevel="0" collapsed="false">
      <c r="A18" s="10" t="s">
        <v>40</v>
      </c>
      <c r="B18" s="11" t="s">
        <v>34</v>
      </c>
      <c r="C18" s="12" t="n">
        <v>13580</v>
      </c>
      <c r="D18" s="12" t="n">
        <v>8516.24</v>
      </c>
      <c r="E18" s="12" t="n">
        <v>22096.24</v>
      </c>
      <c r="F18" s="13" t="n">
        <f aca="false">IFERROR(C18/E18,0)</f>
        <v>0.614584200750897</v>
      </c>
      <c r="G18" s="13" t="n">
        <f aca="false">IFERROR(D18/E18,0)</f>
        <v>0.385415799249103</v>
      </c>
      <c r="H18" s="14"/>
    </row>
    <row r="19" customFormat="false" ht="19.5" hidden="false" customHeight="true" outlineLevel="0" collapsed="false">
      <c r="A19" s="10" t="s">
        <v>40</v>
      </c>
      <c r="B19" s="15" t="s">
        <v>35</v>
      </c>
      <c r="C19" s="12" t="n">
        <v>11240</v>
      </c>
      <c r="D19" s="12" t="n">
        <v>6628.89</v>
      </c>
      <c r="E19" s="12" t="n">
        <v>17868.89</v>
      </c>
      <c r="F19" s="13" t="n">
        <f aca="false">IFERROR(C19/E19,0)</f>
        <v>0.629026201403669</v>
      </c>
      <c r="G19" s="13" t="n">
        <f aca="false">IFERROR(D19/E19,0)</f>
        <v>0.370973798596331</v>
      </c>
      <c r="H19" s="14"/>
    </row>
    <row r="20" customFormat="false" ht="19.5" hidden="false" customHeight="true" outlineLevel="0" collapsed="false">
      <c r="A20" s="10" t="s">
        <v>40</v>
      </c>
      <c r="B20" s="16" t="s">
        <v>36</v>
      </c>
      <c r="C20" s="12" t="n">
        <v>1660</v>
      </c>
      <c r="D20" s="12" t="n">
        <v>5127.04</v>
      </c>
      <c r="E20" s="12" t="n">
        <v>6787.04</v>
      </c>
      <c r="F20" s="13" t="n">
        <f aca="false">IFERROR(C20/E20,0)</f>
        <v>0.244583794997525</v>
      </c>
      <c r="G20" s="13" t="n">
        <f aca="false">IFERROR(D20/E20,0)</f>
        <v>0.755416205002475</v>
      </c>
      <c r="H20" s="14"/>
    </row>
    <row r="21" customFormat="false" ht="19.5" hidden="false" customHeight="true" outlineLevel="0" collapsed="false">
      <c r="A21" s="10" t="s">
        <v>40</v>
      </c>
      <c r="B21" s="11" t="s">
        <v>37</v>
      </c>
      <c r="C21" s="12" t="n">
        <v>0</v>
      </c>
      <c r="D21" s="12" t="n">
        <v>0</v>
      </c>
      <c r="E21" s="12" t="n">
        <v>0</v>
      </c>
      <c r="F21" s="13" t="n">
        <f aca="false">IFERROR(C21/E21,0)</f>
        <v>0</v>
      </c>
      <c r="G21" s="13" t="n">
        <f aca="false">IFERROR(D21/E21,0)</f>
        <v>0</v>
      </c>
      <c r="H21" s="14"/>
    </row>
    <row r="22" customFormat="false" ht="3.75" hidden="false" customHeight="true" outlineLevel="0" collapsed="false">
      <c r="A22" s="17"/>
      <c r="B22" s="17"/>
      <c r="C22" s="17"/>
      <c r="D22" s="17"/>
      <c r="E22" s="17"/>
      <c r="F22" s="17"/>
      <c r="G22" s="17"/>
      <c r="H22" s="17"/>
    </row>
    <row r="23" customFormat="false" ht="19.5" hidden="false" customHeight="true" outlineLevel="0" collapsed="false">
      <c r="A23" s="10" t="s">
        <v>41</v>
      </c>
      <c r="B23" s="11" t="s">
        <v>34</v>
      </c>
      <c r="C23" s="12" t="n">
        <v>7730</v>
      </c>
      <c r="D23" s="12" t="n">
        <v>7894.57</v>
      </c>
      <c r="E23" s="12" t="n">
        <v>15624.57</v>
      </c>
      <c r="F23" s="13" t="n">
        <f aca="false">IFERROR(C23/E23,0)</f>
        <v>0.494733615069087</v>
      </c>
      <c r="G23" s="13" t="n">
        <f aca="false">IFERROR(D23/E23,0)</f>
        <v>0.505266384930913</v>
      </c>
      <c r="H23" s="14"/>
    </row>
    <row r="24" customFormat="false" ht="19.5" hidden="false" customHeight="true" outlineLevel="0" collapsed="false">
      <c r="A24" s="10" t="s">
        <v>41</v>
      </c>
      <c r="B24" s="15" t="s">
        <v>35</v>
      </c>
      <c r="C24" s="12" t="n">
        <v>10170</v>
      </c>
      <c r="D24" s="12" t="n">
        <v>6873.27</v>
      </c>
      <c r="E24" s="12" t="n">
        <v>17043.27</v>
      </c>
      <c r="F24" s="13" t="n">
        <f aca="false">IFERROR(C24/E24,0)</f>
        <v>0.59671647518346</v>
      </c>
      <c r="G24" s="13" t="n">
        <f aca="false">IFERROR(D24/E24,0)</f>
        <v>0.403283524816541</v>
      </c>
      <c r="H24" s="14"/>
    </row>
    <row r="25" customFormat="false" ht="19.5" hidden="false" customHeight="true" outlineLevel="0" collapsed="false">
      <c r="A25" s="10" t="s">
        <v>41</v>
      </c>
      <c r="B25" s="16" t="s">
        <v>36</v>
      </c>
      <c r="C25" s="12" t="n">
        <v>774.79</v>
      </c>
      <c r="D25" s="12" t="n">
        <v>2032.98</v>
      </c>
      <c r="E25" s="12" t="n">
        <v>2807.77</v>
      </c>
      <c r="F25" s="13" t="n">
        <f aca="false">IFERROR(C25/E25,0)</f>
        <v>0.275944967002283</v>
      </c>
      <c r="G25" s="13" t="n">
        <f aca="false">IFERROR(D25/E25,0)</f>
        <v>0.724055032997717</v>
      </c>
      <c r="H25" s="14"/>
    </row>
    <row r="26" customFormat="false" ht="19.5" hidden="false" customHeight="true" outlineLevel="0" collapsed="false">
      <c r="A26" s="10" t="s">
        <v>41</v>
      </c>
      <c r="B26" s="11" t="s">
        <v>37</v>
      </c>
      <c r="C26" s="12" t="n">
        <v>0</v>
      </c>
      <c r="D26" s="12" t="n">
        <v>0</v>
      </c>
      <c r="E26" s="12" t="n">
        <v>0</v>
      </c>
      <c r="F26" s="13" t="n">
        <f aca="false">IFERROR(C26/E26,0)</f>
        <v>0</v>
      </c>
      <c r="G26" s="13" t="n">
        <f aca="false">IFERROR(D26/E26,0)</f>
        <v>0</v>
      </c>
      <c r="H26" s="14"/>
    </row>
    <row r="27" customFormat="false" ht="3.75" hidden="false" customHeight="true" outlineLevel="0" collapsed="false">
      <c r="A27" s="17"/>
      <c r="B27" s="17"/>
      <c r="C27" s="17"/>
      <c r="D27" s="17"/>
      <c r="E27" s="17"/>
      <c r="F27" s="17"/>
      <c r="G27" s="17"/>
      <c r="H27" s="17"/>
    </row>
    <row r="28" customFormat="false" ht="19.5" hidden="false" customHeight="true" outlineLevel="0" collapsed="false">
      <c r="A28" s="10" t="s">
        <v>42</v>
      </c>
      <c r="B28" s="11" t="s">
        <v>34</v>
      </c>
      <c r="C28" s="12" t="n">
        <v>7840</v>
      </c>
      <c r="D28" s="12" t="n">
        <v>6343.5</v>
      </c>
      <c r="E28" s="12" t="n">
        <v>14183.5</v>
      </c>
      <c r="F28" s="13" t="n">
        <f aca="false">IFERROR(C28/E28,0)</f>
        <v>0.552754961751331</v>
      </c>
      <c r="G28" s="13" t="n">
        <f aca="false">IFERROR(D28/E28,0)</f>
        <v>0.447245038248669</v>
      </c>
      <c r="H28" s="14"/>
    </row>
    <row r="29" customFormat="false" ht="19.5" hidden="false" customHeight="true" outlineLevel="0" collapsed="false">
      <c r="A29" s="10" t="s">
        <v>42</v>
      </c>
      <c r="B29" s="15" t="s">
        <v>35</v>
      </c>
      <c r="C29" s="12" t="n">
        <v>11590</v>
      </c>
      <c r="D29" s="12" t="n">
        <v>6414.88</v>
      </c>
      <c r="E29" s="12" t="n">
        <v>18004.88</v>
      </c>
      <c r="F29" s="13" t="n">
        <f aca="false">IFERROR(C29/E29,0)</f>
        <v>0.643714370770591</v>
      </c>
      <c r="G29" s="13" t="n">
        <f aca="false">IFERROR(D29/E29,0)</f>
        <v>0.356285629229409</v>
      </c>
      <c r="H29" s="14"/>
    </row>
    <row r="30" customFormat="false" ht="19.5" hidden="false" customHeight="true" outlineLevel="0" collapsed="false">
      <c r="A30" s="10" t="s">
        <v>42</v>
      </c>
      <c r="B30" s="16" t="s">
        <v>36</v>
      </c>
      <c r="C30" s="12" t="n">
        <v>0</v>
      </c>
      <c r="D30" s="12" t="n">
        <v>0</v>
      </c>
      <c r="E30" s="12" t="n">
        <v>0</v>
      </c>
      <c r="F30" s="13" t="n">
        <f aca="false">IFERROR(C30/E30,0)</f>
        <v>0</v>
      </c>
      <c r="G30" s="13" t="n">
        <f aca="false">IFERROR(D30/E30,0)</f>
        <v>0</v>
      </c>
      <c r="H30" s="14"/>
    </row>
    <row r="31" customFormat="false" ht="19.5" hidden="false" customHeight="true" outlineLevel="0" collapsed="false">
      <c r="A31" s="10" t="s">
        <v>42</v>
      </c>
      <c r="B31" s="11" t="s">
        <v>37</v>
      </c>
      <c r="C31" s="12" t="n">
        <v>0</v>
      </c>
      <c r="D31" s="12" t="n">
        <v>0</v>
      </c>
      <c r="E31" s="12" t="n">
        <v>0</v>
      </c>
      <c r="F31" s="13" t="n">
        <f aca="false">IFERROR(C31/E31,0)</f>
        <v>0</v>
      </c>
      <c r="G31" s="13" t="n">
        <f aca="false">IFERROR(D31/E31,0)</f>
        <v>0</v>
      </c>
      <c r="H31" s="14"/>
    </row>
    <row r="32" customFormat="false" ht="3.75" hidden="false" customHeight="true" outlineLevel="0" collapsed="false">
      <c r="A32" s="17"/>
      <c r="B32" s="17"/>
      <c r="C32" s="17"/>
      <c r="D32" s="17"/>
      <c r="E32" s="17"/>
      <c r="F32" s="17"/>
      <c r="G32" s="17"/>
      <c r="H32" s="17"/>
    </row>
    <row r="33" customFormat="false" ht="19.5" hidden="false" customHeight="true" outlineLevel="0" collapsed="false">
      <c r="A33" s="10" t="s">
        <v>43</v>
      </c>
      <c r="B33" s="11" t="s">
        <v>34</v>
      </c>
      <c r="C33" s="12" t="n">
        <v>7203.82</v>
      </c>
      <c r="D33" s="12" t="n">
        <v>6741.2</v>
      </c>
      <c r="E33" s="12" t="n">
        <v>13945.02</v>
      </c>
      <c r="F33" s="13" t="n">
        <f aca="false">IFERROR(C33/E33,0)</f>
        <v>0.516587283489016</v>
      </c>
      <c r="G33" s="13" t="n">
        <f aca="false">IFERROR(D33/E33,0)</f>
        <v>0.483412716510984</v>
      </c>
      <c r="H33" s="14"/>
    </row>
    <row r="34" customFormat="false" ht="19.5" hidden="false" customHeight="true" outlineLevel="0" collapsed="false">
      <c r="A34" s="10" t="s">
        <v>43</v>
      </c>
      <c r="B34" s="15" t="s">
        <v>35</v>
      </c>
      <c r="C34" s="12" t="n">
        <v>14224.25</v>
      </c>
      <c r="D34" s="12" t="n">
        <v>4907.21</v>
      </c>
      <c r="E34" s="12" t="n">
        <v>19131.46</v>
      </c>
      <c r="F34" s="13" t="n">
        <f aca="false">IFERROR(C34/E34,0)</f>
        <v>0.743500496041599</v>
      </c>
      <c r="G34" s="13" t="n">
        <f aca="false">IFERROR(D34/E34,0)</f>
        <v>0.256499503958402</v>
      </c>
      <c r="H34" s="14"/>
    </row>
    <row r="35" customFormat="false" ht="19.5" hidden="false" customHeight="true" outlineLevel="0" collapsed="false">
      <c r="A35" s="10" t="s">
        <v>43</v>
      </c>
      <c r="B35" s="16" t="s">
        <v>36</v>
      </c>
      <c r="C35" s="12" t="n">
        <v>772.53</v>
      </c>
      <c r="D35" s="12" t="n">
        <v>5531.72</v>
      </c>
      <c r="E35" s="12" t="n">
        <v>6304.25</v>
      </c>
      <c r="F35" s="13" t="n">
        <f aca="false">IFERROR(C35/E35,0)</f>
        <v>0.122541142879803</v>
      </c>
      <c r="G35" s="13" t="n">
        <f aca="false">IFERROR(D35/E35,0)</f>
        <v>0.877458857120197</v>
      </c>
      <c r="H35" s="14"/>
    </row>
    <row r="36" customFormat="false" ht="19.5" hidden="false" customHeight="true" outlineLevel="0" collapsed="false">
      <c r="A36" s="10" t="s">
        <v>43</v>
      </c>
      <c r="B36" s="11" t="s">
        <v>37</v>
      </c>
      <c r="C36" s="12" t="n">
        <v>0</v>
      </c>
      <c r="D36" s="12" t="n">
        <v>0</v>
      </c>
      <c r="E36" s="12" t="n">
        <v>0</v>
      </c>
      <c r="F36" s="13" t="n">
        <f aca="false">IFERROR(C36/E36,0)</f>
        <v>0</v>
      </c>
      <c r="G36" s="13" t="n">
        <f aca="false">IFERROR(D36/E36,0)</f>
        <v>0</v>
      </c>
      <c r="H36" s="14"/>
    </row>
    <row r="37" customFormat="false" ht="3.75" hidden="false" customHeight="true" outlineLevel="0" collapsed="false">
      <c r="A37" s="17"/>
      <c r="B37" s="17"/>
      <c r="C37" s="17"/>
      <c r="D37" s="17"/>
      <c r="E37" s="17"/>
      <c r="F37" s="17"/>
      <c r="G37" s="17"/>
      <c r="H37" s="17"/>
    </row>
    <row r="38" customFormat="false" ht="19.5" hidden="false" customHeight="true" outlineLevel="0" collapsed="false">
      <c r="A38" s="10" t="s">
        <v>44</v>
      </c>
      <c r="B38" s="11" t="s">
        <v>34</v>
      </c>
      <c r="C38" s="12" t="n">
        <v>6775.78</v>
      </c>
      <c r="D38" s="12" t="n">
        <v>7923.74</v>
      </c>
      <c r="E38" s="12" t="n">
        <v>14699.52</v>
      </c>
      <c r="F38" s="13" t="n">
        <f aca="false">IFERROR(C38/E38,0)</f>
        <v>0.460952466475096</v>
      </c>
      <c r="G38" s="13" t="n">
        <f aca="false">IFERROR(D38/E38,0)</f>
        <v>0.539047533524904</v>
      </c>
      <c r="H38" s="14"/>
    </row>
    <row r="39" customFormat="false" ht="19.5" hidden="false" customHeight="true" outlineLevel="0" collapsed="false">
      <c r="A39" s="10" t="s">
        <v>44</v>
      </c>
      <c r="B39" s="15" t="s">
        <v>35</v>
      </c>
      <c r="C39" s="12" t="n">
        <v>11415.45</v>
      </c>
      <c r="D39" s="12" t="n">
        <v>6776.13</v>
      </c>
      <c r="E39" s="12" t="n">
        <v>18191.58</v>
      </c>
      <c r="F39" s="13" t="n">
        <f aca="false">IFERROR(C39/E39,0)</f>
        <v>0.627512838357086</v>
      </c>
      <c r="G39" s="13" t="n">
        <f aca="false">IFERROR(D39/E39,0)</f>
        <v>0.372487161642914</v>
      </c>
      <c r="H39" s="14"/>
    </row>
    <row r="40" customFormat="false" ht="19.5" hidden="false" customHeight="true" outlineLevel="0" collapsed="false">
      <c r="A40" s="10" t="s">
        <v>44</v>
      </c>
      <c r="B40" s="16" t="s">
        <v>36</v>
      </c>
      <c r="C40" s="12" t="n">
        <v>806.56</v>
      </c>
      <c r="D40" s="12" t="n">
        <v>4656.68</v>
      </c>
      <c r="E40" s="12" t="n">
        <v>5463.24</v>
      </c>
      <c r="F40" s="13" t="n">
        <f aca="false">IFERROR(C40/E40,0)</f>
        <v>0.147634004729794</v>
      </c>
      <c r="G40" s="13" t="n">
        <f aca="false">IFERROR(D40/E40,0)</f>
        <v>0.852365995270206</v>
      </c>
      <c r="H40" s="14"/>
    </row>
    <row r="41" customFormat="false" ht="19.5" hidden="false" customHeight="true" outlineLevel="0" collapsed="false">
      <c r="A41" s="10" t="s">
        <v>44</v>
      </c>
      <c r="B41" s="11" t="s">
        <v>37</v>
      </c>
      <c r="C41" s="12" t="n">
        <v>0</v>
      </c>
      <c r="D41" s="12" t="n">
        <v>0</v>
      </c>
      <c r="E41" s="12" t="n">
        <v>0</v>
      </c>
      <c r="F41" s="13" t="n">
        <f aca="false">IFERROR(C41/E41,0)</f>
        <v>0</v>
      </c>
      <c r="G41" s="13" t="n">
        <f aca="false">IFERROR(D41/E41,0)</f>
        <v>0</v>
      </c>
      <c r="H41" s="14"/>
    </row>
    <row r="42" customFormat="false" ht="3.75" hidden="false" customHeight="true" outlineLevel="0" collapsed="false">
      <c r="A42" s="17"/>
      <c r="B42" s="17"/>
      <c r="C42" s="17"/>
      <c r="D42" s="17"/>
      <c r="E42" s="17"/>
      <c r="F42" s="17"/>
      <c r="G42" s="17"/>
      <c r="H42" s="17"/>
    </row>
    <row r="43" customFormat="false" ht="19.5" hidden="false" customHeight="true" outlineLevel="0" collapsed="false">
      <c r="A43" s="10" t="s">
        <v>45</v>
      </c>
      <c r="B43" s="11" t="s">
        <v>34</v>
      </c>
      <c r="C43" s="12" t="n">
        <v>3537.85</v>
      </c>
      <c r="D43" s="12" t="n">
        <v>7245.28</v>
      </c>
      <c r="E43" s="12" t="n">
        <v>10783.13</v>
      </c>
      <c r="F43" s="13" t="n">
        <f aca="false">IFERROR(C43/E43,0)</f>
        <v>0.328091194300727</v>
      </c>
      <c r="G43" s="13" t="n">
        <f aca="false">IFERROR(D43/E43,0)</f>
        <v>0.671908805699273</v>
      </c>
      <c r="H43" s="14"/>
    </row>
    <row r="44" customFormat="false" ht="19.5" hidden="false" customHeight="true" outlineLevel="0" collapsed="false">
      <c r="A44" s="10" t="s">
        <v>45</v>
      </c>
      <c r="B44" s="15" t="s">
        <v>35</v>
      </c>
      <c r="C44" s="12" t="n">
        <v>11548.95</v>
      </c>
      <c r="D44" s="12" t="n">
        <v>4924.09</v>
      </c>
      <c r="E44" s="12" t="n">
        <v>16473.04</v>
      </c>
      <c r="F44" s="13" t="n">
        <f aca="false">IFERROR(C44/E44,0)</f>
        <v>0.701081888953102</v>
      </c>
      <c r="G44" s="13" t="n">
        <f aca="false">IFERROR(D44/E44,0)</f>
        <v>0.298918111046898</v>
      </c>
      <c r="H44" s="14"/>
    </row>
    <row r="45" customFormat="false" ht="19.5" hidden="false" customHeight="true" outlineLevel="0" collapsed="false">
      <c r="A45" s="10" t="s">
        <v>45</v>
      </c>
      <c r="B45" s="16" t="s">
        <v>36</v>
      </c>
      <c r="C45" s="12" t="n">
        <v>1139.4</v>
      </c>
      <c r="D45" s="12" t="n">
        <v>7737.84</v>
      </c>
      <c r="E45" s="12" t="n">
        <v>8877.24</v>
      </c>
      <c r="F45" s="13" t="n">
        <f aca="false">IFERROR(C45/E45,0)</f>
        <v>0.128350703597064</v>
      </c>
      <c r="G45" s="13" t="n">
        <f aca="false">IFERROR(D45/E45,0)</f>
        <v>0.871649296402936</v>
      </c>
      <c r="H45" s="14"/>
    </row>
    <row r="46" customFormat="false" ht="19.5" hidden="false" customHeight="true" outlineLevel="0" collapsed="false">
      <c r="A46" s="10" t="s">
        <v>45</v>
      </c>
      <c r="B46" s="11" t="s">
        <v>37</v>
      </c>
      <c r="C46" s="12" t="n">
        <v>0</v>
      </c>
      <c r="D46" s="12" t="n">
        <v>0</v>
      </c>
      <c r="E46" s="12" t="n">
        <v>0</v>
      </c>
      <c r="F46" s="13" t="n">
        <f aca="false">IFERROR(C46/E46,0)</f>
        <v>0</v>
      </c>
      <c r="G46" s="13" t="n">
        <f aca="false">IFERROR(D46/E46,0)</f>
        <v>0</v>
      </c>
      <c r="H46" s="14"/>
    </row>
    <row r="47" customFormat="false" ht="3.75" hidden="false" customHeight="true" outlineLevel="0" collapsed="false">
      <c r="A47" s="17"/>
      <c r="B47" s="17"/>
      <c r="C47" s="17"/>
      <c r="D47" s="17"/>
      <c r="E47" s="17"/>
      <c r="F47" s="17"/>
      <c r="G47" s="17"/>
      <c r="H47" s="17"/>
    </row>
    <row r="48" customFormat="false" ht="19.5" hidden="false" customHeight="true" outlineLevel="0" collapsed="false">
      <c r="A48" s="10" t="s">
        <v>46</v>
      </c>
      <c r="B48" s="11" t="s">
        <v>34</v>
      </c>
      <c r="C48" s="12" t="n">
        <v>3620</v>
      </c>
      <c r="D48" s="12" t="n">
        <v>6041.53</v>
      </c>
      <c r="E48" s="12" t="n">
        <v>9661.53</v>
      </c>
      <c r="F48" s="13" t="n">
        <f aca="false">IFERROR(C48/E48,0)</f>
        <v>0.374681856807359</v>
      </c>
      <c r="G48" s="13" t="n">
        <f aca="false">IFERROR(D48/E48,0)</f>
        <v>0.625318143192641</v>
      </c>
      <c r="H48" s="14"/>
    </row>
    <row r="49" customFormat="false" ht="19.5" hidden="false" customHeight="true" outlineLevel="0" collapsed="false">
      <c r="A49" s="10" t="s">
        <v>46</v>
      </c>
      <c r="B49" s="15" t="s">
        <v>35</v>
      </c>
      <c r="C49" s="12" t="n">
        <v>10650</v>
      </c>
      <c r="D49" s="12" t="n">
        <v>5088.3</v>
      </c>
      <c r="E49" s="12" t="n">
        <v>15738.3</v>
      </c>
      <c r="F49" s="13" t="n">
        <f aca="false">IFERROR(C49/E49,0)</f>
        <v>0.676693162539792</v>
      </c>
      <c r="G49" s="13" t="n">
        <f aca="false">IFERROR(D49/E49,0)</f>
        <v>0.323306837460209</v>
      </c>
      <c r="H49" s="14"/>
    </row>
    <row r="50" customFormat="false" ht="19.5" hidden="false" customHeight="true" outlineLevel="0" collapsed="false">
      <c r="A50" s="10" t="s">
        <v>46</v>
      </c>
      <c r="B50" s="16" t="s">
        <v>36</v>
      </c>
      <c r="C50" s="12" t="n">
        <v>692</v>
      </c>
      <c r="D50" s="12" t="n">
        <v>4636.75</v>
      </c>
      <c r="E50" s="12" t="n">
        <v>5328.75</v>
      </c>
      <c r="F50" s="13" t="n">
        <f aca="false">IFERROR(C50/E50,0)</f>
        <v>0.129861599812339</v>
      </c>
      <c r="G50" s="13" t="n">
        <f aca="false">IFERROR(D50/E50,0)</f>
        <v>0.870138400187661</v>
      </c>
      <c r="H50" s="14"/>
    </row>
    <row r="51" customFormat="false" ht="19.5" hidden="false" customHeight="true" outlineLevel="0" collapsed="false">
      <c r="A51" s="10" t="s">
        <v>46</v>
      </c>
      <c r="B51" s="11" t="s">
        <v>37</v>
      </c>
      <c r="C51" s="12" t="n">
        <v>0</v>
      </c>
      <c r="D51" s="12" t="n">
        <v>0</v>
      </c>
      <c r="E51" s="12" t="n">
        <v>0</v>
      </c>
      <c r="F51" s="13" t="n">
        <f aca="false">IFERROR(C51/E51,0)</f>
        <v>0</v>
      </c>
      <c r="G51" s="13" t="n">
        <f aca="false">IFERROR(D51/E51,0)</f>
        <v>0</v>
      </c>
      <c r="H51" s="14"/>
    </row>
    <row r="52" customFormat="false" ht="3.75" hidden="false" customHeight="true" outlineLevel="0" collapsed="false">
      <c r="A52" s="17"/>
      <c r="B52" s="17"/>
      <c r="C52" s="17"/>
      <c r="D52" s="17"/>
      <c r="E52" s="17"/>
      <c r="F52" s="17"/>
      <c r="G52" s="17"/>
      <c r="H52" s="17"/>
    </row>
    <row r="53" customFormat="false" ht="19.5" hidden="false" customHeight="true" outlineLevel="0" collapsed="false">
      <c r="A53" s="10" t="s">
        <v>47</v>
      </c>
      <c r="B53" s="11" t="s">
        <v>34</v>
      </c>
      <c r="C53" s="12" t="n">
        <v>3250</v>
      </c>
      <c r="D53" s="12" t="n">
        <v>7745.99</v>
      </c>
      <c r="E53" s="12" t="n">
        <v>10995.99</v>
      </c>
      <c r="F53" s="13" t="n">
        <f aca="false">IFERROR(C53/E53,0)</f>
        <v>0.29556229134439</v>
      </c>
      <c r="G53" s="13" t="n">
        <f aca="false">IFERROR(D53/E53,0)</f>
        <v>0.70443770865561</v>
      </c>
      <c r="H53" s="14"/>
    </row>
    <row r="54" customFormat="false" ht="19.5" hidden="false" customHeight="true" outlineLevel="0" collapsed="false">
      <c r="A54" s="10" t="s">
        <v>47</v>
      </c>
      <c r="B54" s="15" t="s">
        <v>35</v>
      </c>
      <c r="C54" s="12" t="n">
        <v>11020</v>
      </c>
      <c r="D54" s="12" t="n">
        <v>6818.88</v>
      </c>
      <c r="E54" s="12" t="n">
        <v>17838.88</v>
      </c>
      <c r="F54" s="13" t="n">
        <f aca="false">IFERROR(C54/E54,0)</f>
        <v>0.617751787107711</v>
      </c>
      <c r="G54" s="13" t="n">
        <f aca="false">IFERROR(D54/E54,0)</f>
        <v>0.382248212892289</v>
      </c>
      <c r="H54" s="14"/>
    </row>
    <row r="55" customFormat="false" ht="19.5" hidden="false" customHeight="true" outlineLevel="0" collapsed="false">
      <c r="A55" s="10" t="s">
        <v>47</v>
      </c>
      <c r="B55" s="16" t="s">
        <v>36</v>
      </c>
      <c r="C55" s="12" t="n">
        <v>1908.85</v>
      </c>
      <c r="D55" s="12" t="n">
        <v>4934.5</v>
      </c>
      <c r="E55" s="12" t="n">
        <v>6843.35</v>
      </c>
      <c r="F55" s="13" t="n">
        <f aca="false">IFERROR(C55/E55,0)</f>
        <v>0.278935024512848</v>
      </c>
      <c r="G55" s="13" t="n">
        <f aca="false">IFERROR(D55/E55,0)</f>
        <v>0.721064975487152</v>
      </c>
      <c r="H55" s="14"/>
    </row>
    <row r="56" customFormat="false" ht="19.5" hidden="false" customHeight="true" outlineLevel="0" collapsed="false">
      <c r="A56" s="10" t="s">
        <v>47</v>
      </c>
      <c r="B56" s="11" t="s">
        <v>37</v>
      </c>
      <c r="C56" s="12" t="n">
        <v>0</v>
      </c>
      <c r="D56" s="12" t="n">
        <v>0</v>
      </c>
      <c r="E56" s="12" t="n">
        <v>0</v>
      </c>
      <c r="F56" s="13" t="n">
        <f aca="false">IFERROR(C56/E56,0)</f>
        <v>0</v>
      </c>
      <c r="G56" s="13" t="n">
        <f aca="false">IFERROR(D56/E56,0)</f>
        <v>0</v>
      </c>
      <c r="H56" s="14"/>
    </row>
    <row r="57" customFormat="false" ht="3.75" hidden="false" customHeight="true" outlineLevel="0" collapsed="false">
      <c r="A57" s="17"/>
      <c r="B57" s="17"/>
      <c r="C57" s="17"/>
      <c r="D57" s="17"/>
      <c r="E57" s="17"/>
      <c r="F57" s="17"/>
      <c r="G57" s="17"/>
      <c r="H57" s="17"/>
    </row>
    <row r="58" customFormat="false" ht="19.5" hidden="false" customHeight="true" outlineLevel="0" collapsed="false">
      <c r="A58" s="10" t="s">
        <v>2</v>
      </c>
      <c r="B58" s="11" t="s">
        <v>34</v>
      </c>
      <c r="C58" s="12" t="n">
        <v>2438.2</v>
      </c>
      <c r="D58" s="12" t="n">
        <v>4371.63</v>
      </c>
      <c r="E58" s="12" t="n">
        <v>6809.83</v>
      </c>
      <c r="F58" s="13" t="n">
        <f aca="false">IFERROR(C58/E58,0)</f>
        <v>0.358041243320318</v>
      </c>
      <c r="G58" s="13" t="n">
        <f aca="false">IFERROR(D58/E58,0)</f>
        <v>0.641958756679682</v>
      </c>
      <c r="H58" s="14"/>
    </row>
    <row r="59" customFormat="false" ht="19.5" hidden="false" customHeight="true" outlineLevel="0" collapsed="false">
      <c r="A59" s="10" t="s">
        <v>2</v>
      </c>
      <c r="B59" s="15" t="s">
        <v>35</v>
      </c>
      <c r="C59" s="12" t="n">
        <v>3751.1</v>
      </c>
      <c r="D59" s="12" t="n">
        <v>5104.3</v>
      </c>
      <c r="E59" s="12" t="n">
        <v>8855.4</v>
      </c>
      <c r="F59" s="13" t="n">
        <f aca="false">IFERROR(C59/E59,0)</f>
        <v>0.423594642816812</v>
      </c>
      <c r="G59" s="13" t="n">
        <f aca="false">IFERROR(D59/E59,0)</f>
        <v>0.576405357183188</v>
      </c>
      <c r="H59" s="14"/>
    </row>
    <row r="60" customFormat="false" ht="19.5" hidden="false" customHeight="true" outlineLevel="0" collapsed="false">
      <c r="A60" s="10" t="s">
        <v>2</v>
      </c>
      <c r="B60" s="16" t="s">
        <v>36</v>
      </c>
      <c r="C60" s="12" t="n">
        <v>514.45</v>
      </c>
      <c r="D60" s="12" t="n">
        <v>2300.75</v>
      </c>
      <c r="E60" s="12" t="n">
        <v>2815.2</v>
      </c>
      <c r="F60" s="13" t="n">
        <f aca="false">IFERROR(C60/E60,0)</f>
        <v>0.182740125035521</v>
      </c>
      <c r="G60" s="13" t="n">
        <f aca="false">IFERROR(D60/E60,0)</f>
        <v>0.817259874964479</v>
      </c>
      <c r="H60" s="14"/>
    </row>
    <row r="61" customFormat="false" ht="19.5" hidden="false" customHeight="true" outlineLevel="0" collapsed="false">
      <c r="A61" s="10" t="s">
        <v>2</v>
      </c>
      <c r="B61" s="11" t="s">
        <v>37</v>
      </c>
      <c r="C61" s="12" t="n">
        <v>4056.24</v>
      </c>
      <c r="D61" s="12" t="n">
        <v>3263.6</v>
      </c>
      <c r="E61" s="12" t="n">
        <v>7319.84</v>
      </c>
      <c r="F61" s="13" t="n">
        <f aca="false">IFERROR(C61/E61,0)</f>
        <v>0.554143259961966</v>
      </c>
      <c r="G61" s="13" t="n">
        <f aca="false">IFERROR(D61/E61,0)</f>
        <v>0.445856740038034</v>
      </c>
      <c r="H61" s="14"/>
    </row>
    <row r="62" customFormat="false" ht="24" hidden="false" customHeight="true" outlineLevel="0" collapsed="false">
      <c r="A62" s="18" t="s">
        <v>48</v>
      </c>
      <c r="B62" s="18"/>
      <c r="C62" s="18"/>
      <c r="D62" s="18"/>
      <c r="E62" s="18"/>
      <c r="F62" s="18"/>
      <c r="G62" s="18"/>
      <c r="H62" s="18"/>
    </row>
  </sheetData>
  <mergeCells count="2">
    <mergeCell ref="A1:H1"/>
    <mergeCell ref="A62:H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4151"/>
    <pageSetUpPr fitToPage="false"/>
  </sheetPr>
  <dimension ref="B1:C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9" width="3"/>
    <col collapsed="false" customWidth="true" hidden="false" outlineLevel="0" max="2" min="2" style="19" width="28"/>
    <col collapsed="false" customWidth="true" hidden="false" outlineLevel="0" max="3" min="3" style="19" width="65"/>
  </cols>
  <sheetData>
    <row r="1" customFormat="false" ht="39.75" hidden="false" customHeight="true" outlineLevel="0" collapsed="false">
      <c r="B1" s="20" t="s">
        <v>49</v>
      </c>
      <c r="C1" s="20"/>
    </row>
    <row r="3" customFormat="false" ht="18" hidden="false" customHeight="true" outlineLevel="0" collapsed="false">
      <c r="B3" s="21"/>
      <c r="C3" s="21"/>
    </row>
    <row r="4" customFormat="false" ht="18" hidden="false" customHeight="true" outlineLevel="0" collapsed="false">
      <c r="B4" s="22" t="s">
        <v>50</v>
      </c>
      <c r="C4" s="22"/>
    </row>
    <row r="5" customFormat="false" ht="18" hidden="false" customHeight="true" outlineLevel="0" collapsed="false">
      <c r="B5" s="23" t="s">
        <v>51</v>
      </c>
      <c r="C5" s="23" t="s">
        <v>52</v>
      </c>
    </row>
    <row r="6" customFormat="false" ht="18" hidden="false" customHeight="true" outlineLevel="0" collapsed="false">
      <c r="B6" s="21" t="s">
        <v>53</v>
      </c>
      <c r="C6" s="21" t="s">
        <v>54</v>
      </c>
    </row>
    <row r="7" customFormat="false" ht="18" hidden="false" customHeight="true" outlineLevel="0" collapsed="false">
      <c r="B7" s="21" t="s">
        <v>55</v>
      </c>
      <c r="C7" s="21" t="s">
        <v>56</v>
      </c>
    </row>
    <row r="8" customFormat="false" ht="18" hidden="false" customHeight="true" outlineLevel="0" collapsed="false">
      <c r="B8" s="21" t="s">
        <v>57</v>
      </c>
      <c r="C8" s="21" t="s">
        <v>58</v>
      </c>
    </row>
    <row r="9" customFormat="false" ht="18" hidden="false" customHeight="true" outlineLevel="0" collapsed="false">
      <c r="B9" s="21" t="s">
        <v>59</v>
      </c>
      <c r="C9" s="21" t="s">
        <v>60</v>
      </c>
    </row>
    <row r="10" customFormat="false" ht="18" hidden="false" customHeight="true" outlineLevel="0" collapsed="false">
      <c r="B10" s="21"/>
      <c r="C10" s="21"/>
    </row>
    <row r="11" customFormat="false" ht="18" hidden="false" customHeight="true" outlineLevel="0" collapsed="false">
      <c r="B11" s="22" t="s">
        <v>61</v>
      </c>
      <c r="C11" s="22"/>
    </row>
    <row r="12" customFormat="false" ht="18" hidden="false" customHeight="true" outlineLevel="0" collapsed="false">
      <c r="B12" s="21" t="s">
        <v>62</v>
      </c>
      <c r="C12" s="21" t="s">
        <v>63</v>
      </c>
    </row>
    <row r="13" customFormat="false" ht="18" hidden="false" customHeight="true" outlineLevel="0" collapsed="false">
      <c r="B13" s="21" t="s">
        <v>64</v>
      </c>
      <c r="C13" s="21" t="s">
        <v>65</v>
      </c>
    </row>
    <row r="14" customFormat="false" ht="18" hidden="false" customHeight="true" outlineLevel="0" collapsed="false">
      <c r="B14" s="21" t="s">
        <v>20</v>
      </c>
      <c r="C14" s="21" t="s">
        <v>21</v>
      </c>
    </row>
    <row r="15" customFormat="false" ht="18" hidden="false" customHeight="true" outlineLevel="0" collapsed="false">
      <c r="B15" s="21" t="s">
        <v>66</v>
      </c>
      <c r="C15" s="21" t="s">
        <v>67</v>
      </c>
    </row>
    <row r="16" customFormat="false" ht="18" hidden="false" customHeight="true" outlineLevel="0" collapsed="false">
      <c r="B16" s="21"/>
      <c r="C16" s="21"/>
    </row>
    <row r="17" customFormat="false" ht="18" hidden="false" customHeight="true" outlineLevel="0" collapsed="false">
      <c r="B17" s="22" t="s">
        <v>68</v>
      </c>
      <c r="C17" s="22"/>
    </row>
    <row r="18" customFormat="false" ht="18" hidden="false" customHeight="true" outlineLevel="0" collapsed="false">
      <c r="B18" s="21" t="s">
        <v>69</v>
      </c>
      <c r="C18" s="21" t="s">
        <v>70</v>
      </c>
    </row>
    <row r="19" customFormat="false" ht="18" hidden="false" customHeight="true" outlineLevel="0" collapsed="false">
      <c r="B19" s="21" t="s">
        <v>71</v>
      </c>
      <c r="C19" s="21" t="s">
        <v>72</v>
      </c>
    </row>
    <row r="20" customFormat="false" ht="18" hidden="false" customHeight="true" outlineLevel="0" collapsed="false">
      <c r="B20" s="21" t="s">
        <v>73</v>
      </c>
      <c r="C20" s="21" t="s">
        <v>74</v>
      </c>
    </row>
    <row r="21" customFormat="false" ht="18" hidden="false" customHeight="true" outlineLevel="0" collapsed="false">
      <c r="B21" s="21" t="s">
        <v>75</v>
      </c>
      <c r="C21" s="21" t="s">
        <v>76</v>
      </c>
    </row>
    <row r="22" customFormat="false" ht="18" hidden="false" customHeight="true" outlineLevel="0" collapsed="false">
      <c r="B22" s="21"/>
      <c r="C22" s="21"/>
    </row>
    <row r="23" customFormat="false" ht="18" hidden="false" customHeight="true" outlineLevel="0" collapsed="false">
      <c r="B23" s="22" t="s">
        <v>77</v>
      </c>
      <c r="C23" s="22"/>
    </row>
    <row r="24" customFormat="false" ht="18" hidden="false" customHeight="true" outlineLevel="0" collapsed="false">
      <c r="B24" s="21" t="s">
        <v>78</v>
      </c>
      <c r="C24" s="21" t="s">
        <v>79</v>
      </c>
    </row>
    <row r="25" customFormat="false" ht="18" hidden="false" customHeight="true" outlineLevel="0" collapsed="false">
      <c r="B25" s="21" t="s">
        <v>80</v>
      </c>
      <c r="C25" s="21" t="s">
        <v>81</v>
      </c>
    </row>
    <row r="26" customFormat="false" ht="18" hidden="false" customHeight="true" outlineLevel="0" collapsed="false">
      <c r="B26" s="21" t="s">
        <v>82</v>
      </c>
      <c r="C26" s="21" t="s">
        <v>83</v>
      </c>
    </row>
  </sheetData>
  <mergeCells count="5">
    <mergeCell ref="B1:C1"/>
    <mergeCell ref="B4:C4"/>
    <mergeCell ref="B11:C11"/>
    <mergeCell ref="B17:C17"/>
    <mergeCell ref="B23:C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5A8E"/>
    <pageSetUpPr fitToPage="false"/>
  </sheetPr>
  <dimension ref="B1:H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9" width="3"/>
    <col collapsed="false" customWidth="true" hidden="false" outlineLevel="0" max="2" min="2" style="19" width="38"/>
    <col collapsed="false" customWidth="true" hidden="false" outlineLevel="0" max="6" min="3" style="19" width="16"/>
    <col collapsed="false" customWidth="true" hidden="false" outlineLevel="0" max="7" min="7" style="19" width="18"/>
    <col collapsed="false" customWidth="true" hidden="false" outlineLevel="0" max="8" min="8" style="19" width="22"/>
  </cols>
  <sheetData>
    <row r="1" customFormat="false" ht="42" hidden="false" customHeight="true" outlineLevel="0" collapsed="false">
      <c r="B1" s="20" t="s">
        <v>84</v>
      </c>
      <c r="C1" s="20"/>
      <c r="D1" s="20"/>
      <c r="E1" s="20"/>
      <c r="F1" s="20"/>
      <c r="G1" s="20"/>
      <c r="H1" s="20"/>
    </row>
    <row r="2" customFormat="false" ht="19.5" hidden="false" customHeight="true" outlineLevel="0" collapsed="false">
      <c r="B2" s="24" t="s">
        <v>85</v>
      </c>
      <c r="C2" s="24"/>
      <c r="D2" s="24"/>
      <c r="E2" s="24"/>
      <c r="F2" s="24"/>
      <c r="G2" s="24"/>
      <c r="H2" s="24"/>
    </row>
    <row r="3" customFormat="false" ht="27.75" hidden="false" customHeight="true" outlineLevel="0" collapsed="false">
      <c r="B3" s="25" t="s">
        <v>86</v>
      </c>
      <c r="C3" s="26" t="s">
        <v>34</v>
      </c>
      <c r="D3" s="27" t="s">
        <v>35</v>
      </c>
      <c r="E3" s="28" t="s">
        <v>36</v>
      </c>
      <c r="F3" s="26" t="s">
        <v>37</v>
      </c>
      <c r="G3" s="25" t="s">
        <v>87</v>
      </c>
      <c r="H3" s="25" t="s">
        <v>88</v>
      </c>
    </row>
    <row r="4" customFormat="false" ht="21.75" hidden="false" customHeight="true" outlineLevel="0" collapsed="false">
      <c r="B4" s="5" t="s">
        <v>89</v>
      </c>
      <c r="C4" s="5"/>
      <c r="D4" s="5"/>
      <c r="E4" s="5"/>
      <c r="F4" s="5"/>
      <c r="G4" s="5"/>
      <c r="H4" s="5"/>
    </row>
    <row r="5" customFormat="false" ht="18" hidden="false" customHeight="true" outlineLevel="0" collapsed="false">
      <c r="B5" s="29" t="s">
        <v>90</v>
      </c>
      <c r="C5" s="30" t="s">
        <v>91</v>
      </c>
      <c r="D5" s="30" t="s">
        <v>92</v>
      </c>
      <c r="E5" s="30" t="s">
        <v>93</v>
      </c>
      <c r="F5" s="30" t="s">
        <v>94</v>
      </c>
      <c r="G5" s="31"/>
    </row>
    <row r="6" customFormat="false" ht="18" hidden="false" customHeight="true" outlineLevel="0" collapsed="false">
      <c r="B6" s="29" t="s">
        <v>95</v>
      </c>
      <c r="C6" s="30" t="s">
        <v>96</v>
      </c>
      <c r="D6" s="30" t="s">
        <v>97</v>
      </c>
      <c r="E6" s="30" t="s">
        <v>98</v>
      </c>
      <c r="F6" s="30" t="s">
        <v>99</v>
      </c>
      <c r="G6" s="31"/>
    </row>
    <row r="7" customFormat="false" ht="18" hidden="false" customHeight="true" outlineLevel="0" collapsed="false">
      <c r="B7" s="29" t="s">
        <v>100</v>
      </c>
      <c r="C7" s="30" t="s">
        <v>101</v>
      </c>
      <c r="D7" s="30" t="s">
        <v>102</v>
      </c>
      <c r="E7" s="30" t="s">
        <v>103</v>
      </c>
      <c r="F7" s="30" t="s">
        <v>101</v>
      </c>
      <c r="G7" s="31"/>
    </row>
    <row r="9" customFormat="false" ht="21.75" hidden="false" customHeight="true" outlineLevel="0" collapsed="false">
      <c r="B9" s="5" t="s">
        <v>104</v>
      </c>
      <c r="C9" s="5"/>
      <c r="D9" s="5"/>
      <c r="E9" s="5"/>
      <c r="F9" s="5"/>
      <c r="G9" s="5"/>
      <c r="H9" s="5"/>
    </row>
    <row r="10" customFormat="false" ht="18" hidden="false" customHeight="true" outlineLevel="0" collapsed="false">
      <c r="B10" s="29" t="s">
        <v>105</v>
      </c>
      <c r="C10" s="32" t="n">
        <v>41</v>
      </c>
      <c r="D10" s="32" t="n">
        <v>55</v>
      </c>
      <c r="E10" s="32" t="n">
        <v>20</v>
      </c>
      <c r="F10" s="32" t="n">
        <v>55</v>
      </c>
      <c r="G10" s="33" t="n">
        <f aca="false">AVERAGE(C10,D10,E10,F10)</f>
        <v>42.75</v>
      </c>
      <c r="H10" s="31" t="s">
        <v>106</v>
      </c>
    </row>
    <row r="11" customFormat="false" ht="18" hidden="false" customHeight="true" outlineLevel="0" collapsed="false">
      <c r="B11" s="29" t="s">
        <v>107</v>
      </c>
      <c r="C11" s="32" t="n">
        <v>59</v>
      </c>
      <c r="D11" s="32" t="n">
        <v>45</v>
      </c>
      <c r="E11" s="32" t="n">
        <v>80</v>
      </c>
      <c r="F11" s="32" t="n">
        <v>45</v>
      </c>
      <c r="G11" s="33" t="n">
        <f aca="false">AVERAGE(C11,D11,E11,F11)</f>
        <v>57.25</v>
      </c>
    </row>
    <row r="12" customFormat="false" ht="18" hidden="false" customHeight="true" outlineLevel="0" collapsed="false">
      <c r="B12" s="29" t="s">
        <v>108</v>
      </c>
      <c r="C12" s="34" t="n">
        <f aca="false">IFERROR(ROUND(SUMIFS('📅 Ventas Mensuales'!$C:$C,'📅 Ventas Mensuales'!$A:$A,'⚙️ Control'!$C$3,'📅 Ventas Mensuales'!$B:$B,"Móstoles")/SUMIFS('📅 Ventas Mensuales'!$E:$E,'📅 Ventas Mensuales'!$A:$A,'⚙️ Control'!$C$3,'📅 Ventas Mensuales'!$B:$B,"Móstoles")*100,1),0)</f>
        <v>35.8</v>
      </c>
      <c r="D12" s="34" t="n">
        <f aca="false">IFERROR(ROUND(SUMIFS('📅 Ventas Mensuales'!$C:$C,'📅 Ventas Mensuales'!$A:$A,'⚙️ Control'!$C$3,'📅 Ventas Mensuales'!$B:$B,"Valencia")/SUMIFS('📅 Ventas Mensuales'!$E:$E,'📅 Ventas Mensuales'!$A:$A,'⚙️ Control'!$C$3,'📅 Ventas Mensuales'!$B:$B,"Valencia")*100,1),0)</f>
        <v>42.4</v>
      </c>
      <c r="E12" s="34" t="n">
        <f aca="false">IFERROR(ROUND(SUMIFS('📅 Ventas Mensuales'!$C:$C,'📅 Ventas Mensuales'!$A:$A,'⚙️ Control'!$C$3,'📅 Ventas Mensuales'!$B:$B,"Cartagena")/SUMIFS('📅 Ventas Mensuales'!$E:$E,'📅 Ventas Mensuales'!$A:$A,'⚙️ Control'!$C$3,'📅 Ventas Mensuales'!$B:$B,"Cartagena")*100,1),0)</f>
        <v>18.3</v>
      </c>
      <c r="F12" s="34" t="n">
        <f aca="false">IFERROR(ROUND(SUMIFS('📅 Ventas Mensuales'!$C:$C,'📅 Ventas Mensuales'!$A:$A,'⚙️ Control'!$C$3,'📅 Ventas Mensuales'!$B:$B,"Sevilla")/SUMIFS('📅 Ventas Mensuales'!$E:$E,'📅 Ventas Mensuales'!$A:$A,'⚙️ Control'!$C$3,'📅 Ventas Mensuales'!$B:$B,"Sevilla")*100,1),0)</f>
        <v>55.4</v>
      </c>
      <c r="G12" s="33" t="n">
        <f aca="false">AVERAGE(C12,D12,E12,F12)</f>
        <v>37.975</v>
      </c>
    </row>
    <row r="13" customFormat="false" ht="18" hidden="false" customHeight="true" outlineLevel="0" collapsed="false">
      <c r="B13" s="29" t="s">
        <v>109</v>
      </c>
      <c r="C13" s="34" t="n">
        <f aca="false">IFERROR(100-C12,0)</f>
        <v>64.2</v>
      </c>
      <c r="D13" s="34" t="n">
        <f aca="false">IFERROR(100-D12,0)</f>
        <v>57.6</v>
      </c>
      <c r="E13" s="34" t="n">
        <f aca="false">IFERROR(100-E12,0)</f>
        <v>81.7</v>
      </c>
      <c r="F13" s="34" t="n">
        <f aca="false">IFERROR(100-F12,0)</f>
        <v>44.6</v>
      </c>
      <c r="G13" s="33" t="n">
        <f aca="false">AVERAGE(C13,D13,E13,F13)</f>
        <v>62.025</v>
      </c>
    </row>
    <row r="14" customFormat="false" ht="18" hidden="false" customHeight="true" outlineLevel="0" collapsed="false">
      <c r="B14" s="29" t="s">
        <v>110</v>
      </c>
      <c r="C14" s="32" t="n">
        <v>70</v>
      </c>
      <c r="D14" s="32" t="n">
        <v>70</v>
      </c>
      <c r="E14" s="32" t="n">
        <v>30</v>
      </c>
      <c r="F14" s="32" t="n">
        <v>70</v>
      </c>
      <c r="G14" s="33"/>
    </row>
    <row r="15" customFormat="false" ht="18" hidden="false" customHeight="true" outlineLevel="0" collapsed="false">
      <c r="B15" s="35" t="s">
        <v>111</v>
      </c>
      <c r="C15" s="33" t="n">
        <f aca="false">MAX(0,C14-C12)</f>
        <v>34.2</v>
      </c>
      <c r="D15" s="33" t="n">
        <f aca="false">MAX(0,D14-D12)</f>
        <v>27.6</v>
      </c>
      <c r="E15" s="33" t="n">
        <f aca="false">MAX(0,E14-E12)</f>
        <v>11.7</v>
      </c>
      <c r="F15" s="33" t="n">
        <f aca="false">MAX(0,F14-F12)</f>
        <v>14.6</v>
      </c>
      <c r="G15" s="33" t="n">
        <f aca="false">AVERAGE(C15,D15,E15,F15)</f>
        <v>22.025</v>
      </c>
      <c r="H15" s="31" t="s">
        <v>112</v>
      </c>
    </row>
    <row r="17" customFormat="false" ht="21.75" hidden="false" customHeight="true" outlineLevel="0" collapsed="false">
      <c r="B17" s="5" t="s">
        <v>113</v>
      </c>
      <c r="C17" s="5"/>
      <c r="D17" s="5"/>
      <c r="E17" s="5"/>
      <c r="F17" s="5"/>
      <c r="G17" s="5"/>
      <c r="H17" s="5"/>
    </row>
    <row r="18" customFormat="false" ht="18" hidden="false" customHeight="true" outlineLevel="0" collapsed="false">
      <c r="B18" s="29" t="s">
        <v>114</v>
      </c>
      <c r="C18" s="32" t="n">
        <v>19</v>
      </c>
      <c r="D18" s="32" t="n">
        <v>24</v>
      </c>
      <c r="E18" s="32" t="n">
        <v>43</v>
      </c>
      <c r="F18" s="32" t="n">
        <v>42</v>
      </c>
      <c r="G18" s="33" t="n">
        <f aca="false">AVERAGE(C18,D18,E18,F18)</f>
        <v>32</v>
      </c>
      <c r="H18" s="31" t="s">
        <v>115</v>
      </c>
    </row>
    <row r="19" customFormat="false" ht="18" hidden="false" customHeight="true" outlineLevel="0" collapsed="false">
      <c r="B19" s="29" t="s">
        <v>116</v>
      </c>
      <c r="C19" s="32" t="n">
        <v>60</v>
      </c>
      <c r="D19" s="32" t="n">
        <v>55</v>
      </c>
      <c r="E19" s="32" t="n">
        <v>40</v>
      </c>
      <c r="F19" s="32" t="n">
        <v>40</v>
      </c>
      <c r="G19" s="33" t="n">
        <f aca="false">AVERAGE(C19,D19,E19,F19)</f>
        <v>48.75</v>
      </c>
      <c r="H19" s="31" t="s">
        <v>117</v>
      </c>
    </row>
    <row r="21" customFormat="false" ht="21.75" hidden="false" customHeight="true" outlineLevel="0" collapsed="false">
      <c r="B21" s="5" t="s">
        <v>118</v>
      </c>
      <c r="C21" s="5"/>
      <c r="D21" s="5"/>
      <c r="E21" s="5"/>
      <c r="F21" s="5"/>
      <c r="G21" s="5"/>
      <c r="H21" s="5"/>
    </row>
    <row r="22" customFormat="false" ht="18" hidden="false" customHeight="true" outlineLevel="0" collapsed="false">
      <c r="B22" s="29" t="s">
        <v>119</v>
      </c>
      <c r="C22" s="36" t="n">
        <v>1100</v>
      </c>
      <c r="D22" s="36" t="n">
        <v>1276</v>
      </c>
      <c r="E22" s="36" t="n">
        <v>575</v>
      </c>
      <c r="F22" s="36" t="n">
        <v>1310</v>
      </c>
      <c r="G22" s="37" t="n">
        <f aca="false">IFERROR(G23/4.3,"")</f>
        <v>3497.73953488372</v>
      </c>
      <c r="H22" s="31" t="s">
        <v>120</v>
      </c>
    </row>
    <row r="23" customFormat="false" ht="18" hidden="false" customHeight="true" outlineLevel="0" collapsed="false">
      <c r="B23" s="29" t="s">
        <v>121</v>
      </c>
      <c r="C23" s="37" t="n">
        <f aca="false">IFERROR(SUMIFS('📅 Ventas Mensuales'!$D:$D,'📅 Ventas Mensuales'!$A:$A,'⚙️ Control'!$C$3,'📅 Ventas Mensuales'!$B:$B,"Móstoles"),0)</f>
        <v>4371.63</v>
      </c>
      <c r="D23" s="37" t="n">
        <f aca="false">IFERROR(SUMIFS('📅 Ventas Mensuales'!$D:$D,'📅 Ventas Mensuales'!$A:$A,'⚙️ Control'!$C$3,'📅 Ventas Mensuales'!$B:$B,"Valencia"),0)</f>
        <v>5104.3</v>
      </c>
      <c r="E23" s="37" t="n">
        <f aca="false">IFERROR(SUMIFS('📅 Ventas Mensuales'!$D:$D,'📅 Ventas Mensuales'!$A:$A,'⚙️ Control'!$C$3,'📅 Ventas Mensuales'!$B:$B,"Cartagena"),0)</f>
        <v>2300.75</v>
      </c>
      <c r="F23" s="37" t="n">
        <f aca="false">IFERROR(SUMIFS('📅 Ventas Mensuales'!$D:$D,'📅 Ventas Mensuales'!$A:$A,'⚙️ Control'!$C$3,'📅 Ventas Mensuales'!$B:$B,"Sevilla"),0)</f>
        <v>3263.6</v>
      </c>
      <c r="G23" s="38" t="n">
        <f aca="false">SUM(C23,D23,E23,F23)</f>
        <v>15040.28</v>
      </c>
      <c r="H23" s="31" t="s">
        <v>122</v>
      </c>
    </row>
    <row r="24" customFormat="false" ht="18" hidden="false" customHeight="true" outlineLevel="0" collapsed="false">
      <c r="B24" s="29" t="s">
        <v>123</v>
      </c>
      <c r="C24" s="37" t="n">
        <f aca="false">IFERROR(SUMIFS('📅 Ventas Mensuales'!$C:$C,'📅 Ventas Mensuales'!$A:$A,'⚙️ Control'!$C$3,'📅 Ventas Mensuales'!$B:$B,"Móstoles"),0)</f>
        <v>2438.2</v>
      </c>
      <c r="D24" s="37" t="n">
        <f aca="false">IFERROR(SUMIFS('📅 Ventas Mensuales'!$C:$C,'📅 Ventas Mensuales'!$A:$A,'⚙️ Control'!$C$3,'📅 Ventas Mensuales'!$B:$B,"Valencia"),0)</f>
        <v>3751.1</v>
      </c>
      <c r="E24" s="37" t="n">
        <f aca="false">IFERROR(SUMIFS('📅 Ventas Mensuales'!$C:$C,'📅 Ventas Mensuales'!$A:$A,'⚙️ Control'!$C$3,'📅 Ventas Mensuales'!$B:$B,"Cartagena"),0)</f>
        <v>514.45</v>
      </c>
      <c r="F24" s="37" t="n">
        <f aca="false">IFERROR(SUMIFS('📅 Ventas Mensuales'!$C:$C,'📅 Ventas Mensuales'!$A:$A,'⚙️ Control'!$C$3,'📅 Ventas Mensuales'!$B:$B,"Sevilla"),0)</f>
        <v>4056.24</v>
      </c>
      <c r="G24" s="38" t="n">
        <f aca="false">SUM(C24,D24,E24,F24)</f>
        <v>10759.99</v>
      </c>
      <c r="H24" s="31" t="s">
        <v>122</v>
      </c>
    </row>
    <row r="25" customFormat="false" ht="18" hidden="false" customHeight="true" outlineLevel="0" collapsed="false">
      <c r="B25" s="35" t="s">
        <v>124</v>
      </c>
      <c r="C25" s="39" t="n">
        <f aca="false">C24+C23</f>
        <v>6809.83</v>
      </c>
      <c r="D25" s="39" t="n">
        <f aca="false">D24+D23</f>
        <v>8855.4</v>
      </c>
      <c r="E25" s="39" t="n">
        <f aca="false">E24+E23</f>
        <v>2815.2</v>
      </c>
      <c r="F25" s="39" t="n">
        <f aca="false">F24+F23</f>
        <v>7319.84</v>
      </c>
      <c r="G25" s="39" t="n">
        <f aca="false">SUM(C25,D25,E25,F25)</f>
        <v>25800.27</v>
      </c>
      <c r="H25" s="31" t="s">
        <v>122</v>
      </c>
    </row>
    <row r="27" customFormat="false" ht="21.75" hidden="false" customHeight="true" outlineLevel="0" collapsed="false">
      <c r="B27" s="5" t="s">
        <v>125</v>
      </c>
      <c r="C27" s="5"/>
      <c r="D27" s="5"/>
      <c r="E27" s="5"/>
      <c r="F27" s="5"/>
      <c r="G27" s="5"/>
      <c r="H27" s="5"/>
    </row>
    <row r="28" customFormat="false" ht="18" hidden="false" customHeight="true" outlineLevel="0" collapsed="false">
      <c r="B28" s="40" t="s">
        <v>126</v>
      </c>
      <c r="C28" s="41" t="s">
        <v>127</v>
      </c>
      <c r="D28" s="41"/>
      <c r="E28" s="41"/>
      <c r="F28" s="41"/>
      <c r="G28" s="31" t="s">
        <v>128</v>
      </c>
    </row>
    <row r="29" customFormat="false" ht="18" hidden="false" customHeight="true" outlineLevel="0" collapsed="false">
      <c r="B29" s="40" t="s">
        <v>129</v>
      </c>
      <c r="C29" s="41" t="n">
        <v>0</v>
      </c>
      <c r="D29" s="41"/>
      <c r="E29" s="41"/>
      <c r="F29" s="41"/>
      <c r="G29" s="31" t="s">
        <v>130</v>
      </c>
    </row>
    <row r="30" customFormat="false" ht="18" hidden="false" customHeight="true" outlineLevel="0" collapsed="false">
      <c r="B30" s="40" t="s">
        <v>131</v>
      </c>
      <c r="C30" s="41" t="s">
        <v>132</v>
      </c>
      <c r="D30" s="41"/>
      <c r="E30" s="41"/>
      <c r="F30" s="41"/>
      <c r="G30" s="31" t="s">
        <v>133</v>
      </c>
    </row>
  </sheetData>
  <mergeCells count="10">
    <mergeCell ref="B1:H1"/>
    <mergeCell ref="B2:H2"/>
    <mergeCell ref="B4:H4"/>
    <mergeCell ref="B9:H9"/>
    <mergeCell ref="B17:H17"/>
    <mergeCell ref="B21:H21"/>
    <mergeCell ref="B27:H27"/>
    <mergeCell ref="C28:F28"/>
    <mergeCell ref="C29:F29"/>
    <mergeCell ref="C30:F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6D11"/>
    <pageSetUpPr fitToPage="false"/>
  </sheetPr>
  <dimension ref="B1:K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9" width="3"/>
    <col collapsed="false" customWidth="true" hidden="false" outlineLevel="0" max="2" min="2" style="19" width="14"/>
    <col collapsed="false" customWidth="true" hidden="false" outlineLevel="0" max="3" min="3" style="19" width="22"/>
    <col collapsed="false" customWidth="true" hidden="false" outlineLevel="0" max="4" min="4" style="19" width="30"/>
    <col collapsed="false" customWidth="true" hidden="false" outlineLevel="0" max="5" min="5" style="19" width="14"/>
    <col collapsed="false" customWidth="true" hidden="false" outlineLevel="0" max="6" min="6" style="19" width="20"/>
    <col collapsed="false" customWidth="true" hidden="false" outlineLevel="0" max="8" min="7" style="19" width="12"/>
    <col collapsed="false" customWidth="true" hidden="false" outlineLevel="0" max="10" min="9" style="19" width="14"/>
    <col collapsed="false" customWidth="true" hidden="false" outlineLevel="0" max="11" min="11" style="19" width="35"/>
  </cols>
  <sheetData>
    <row r="1" customFormat="false" ht="42" hidden="false" customHeight="true" outlineLevel="0" collapsed="false">
      <c r="B1" s="20" t="s">
        <v>134</v>
      </c>
      <c r="C1" s="20"/>
      <c r="D1" s="20"/>
      <c r="E1" s="20"/>
      <c r="F1" s="20"/>
      <c r="G1" s="20"/>
      <c r="H1" s="20"/>
      <c r="I1" s="20"/>
      <c r="J1" s="20"/>
      <c r="K1" s="20"/>
    </row>
    <row r="2" customFormat="false" ht="19.5" hidden="false" customHeight="true" outlineLevel="0" collapsed="false">
      <c r="B2" s="24" t="s">
        <v>135</v>
      </c>
      <c r="C2" s="24"/>
      <c r="D2" s="24"/>
      <c r="E2" s="24"/>
      <c r="F2" s="24"/>
      <c r="G2" s="24"/>
      <c r="H2" s="24"/>
      <c r="I2" s="24"/>
      <c r="J2" s="24"/>
      <c r="K2" s="24"/>
    </row>
    <row r="3" customFormat="false" ht="27.75" hidden="false" customHeight="true" outlineLevel="0" collapsed="false">
      <c r="B3" s="42" t="s">
        <v>26</v>
      </c>
      <c r="C3" s="42" t="s">
        <v>136</v>
      </c>
      <c r="D3" s="42" t="s">
        <v>137</v>
      </c>
      <c r="E3" s="42" t="s">
        <v>138</v>
      </c>
      <c r="F3" s="42" t="s">
        <v>139</v>
      </c>
      <c r="G3" s="42" t="s">
        <v>140</v>
      </c>
      <c r="H3" s="42" t="s">
        <v>141</v>
      </c>
      <c r="I3" s="42" t="s">
        <v>142</v>
      </c>
      <c r="J3" s="42" t="s">
        <v>143</v>
      </c>
      <c r="K3" s="42" t="s">
        <v>32</v>
      </c>
    </row>
    <row r="4" customFormat="false" ht="19.5" hidden="false" customHeight="true" outlineLevel="0" collapsed="false">
      <c r="B4" s="43" t="s">
        <v>37</v>
      </c>
      <c r="C4" s="44" t="s">
        <v>144</v>
      </c>
      <c r="D4" s="45" t="s">
        <v>145</v>
      </c>
      <c r="E4" s="30" t="s">
        <v>146</v>
      </c>
      <c r="F4" s="46" t="s">
        <v>147</v>
      </c>
      <c r="G4" s="32" t="n">
        <v>45</v>
      </c>
      <c r="H4" s="47" t="str">
        <f aca="false">IF(G4="","⬜ SIN DATOS",IF(G4&gt;=85,"✅ OK",IF(G4&gt;=40,"⚠️ ATENCIÓN","🚨 CRÍTICO")))</f>
        <v>⚠️ ATENCIÓN</v>
      </c>
      <c r="I4" s="48" t="s">
        <v>148</v>
      </c>
      <c r="J4" s="30"/>
      <c r="K4" s="49" t="s">
        <v>149</v>
      </c>
    </row>
    <row r="5" customFormat="false" ht="19.5" hidden="false" customHeight="true" outlineLevel="0" collapsed="false">
      <c r="B5" s="43" t="s">
        <v>34</v>
      </c>
      <c r="C5" s="44" t="s">
        <v>144</v>
      </c>
      <c r="D5" s="45" t="s">
        <v>145</v>
      </c>
      <c r="E5" s="30" t="s">
        <v>150</v>
      </c>
      <c r="F5" s="46" t="s">
        <v>147</v>
      </c>
      <c r="G5" s="32" t="n">
        <v>0</v>
      </c>
      <c r="H5" s="47" t="str">
        <f aca="false">IF(G5="","⬜ SIN DATOS",IF(G5&gt;=85,"✅ OK",IF(G5&gt;=40,"⚠️ ATENCIÓN","🚨 CRÍTICO")))</f>
        <v>🚨 CRÍTICO</v>
      </c>
      <c r="I5" s="48" t="s">
        <v>148</v>
      </c>
      <c r="J5" s="30"/>
      <c r="K5" s="49" t="s">
        <v>151</v>
      </c>
    </row>
    <row r="6" customFormat="false" ht="19.5" hidden="false" customHeight="true" outlineLevel="0" collapsed="false">
      <c r="B6" s="43" t="s">
        <v>35</v>
      </c>
      <c r="C6" s="44" t="s">
        <v>144</v>
      </c>
      <c r="D6" s="45" t="s">
        <v>145</v>
      </c>
      <c r="E6" s="30" t="s">
        <v>150</v>
      </c>
      <c r="F6" s="46" t="s">
        <v>147</v>
      </c>
      <c r="G6" s="32" t="n">
        <v>0</v>
      </c>
      <c r="H6" s="47" t="str">
        <f aca="false">IF(G6="","⬜ SIN DATOS",IF(G6&gt;=85,"✅ OK",IF(G6&gt;=40,"⚠️ ATENCIÓN","🚨 CRÍTICO")))</f>
        <v>🚨 CRÍTICO</v>
      </c>
      <c r="I6" s="48" t="s">
        <v>148</v>
      </c>
      <c r="J6" s="30"/>
      <c r="K6" s="49" t="s">
        <v>151</v>
      </c>
    </row>
    <row r="7" customFormat="false" ht="19.5" hidden="false" customHeight="true" outlineLevel="0" collapsed="false">
      <c r="B7" s="43" t="s">
        <v>36</v>
      </c>
      <c r="C7" s="44" t="s">
        <v>144</v>
      </c>
      <c r="D7" s="45" t="s">
        <v>145</v>
      </c>
      <c r="E7" s="30" t="s">
        <v>150</v>
      </c>
      <c r="F7" s="46" t="s">
        <v>147</v>
      </c>
      <c r="G7" s="32" t="n">
        <v>0</v>
      </c>
      <c r="H7" s="47" t="str">
        <f aca="false">IF(G7="","⬜ SIN DATOS",IF(G7&gt;=85,"✅ OK",IF(G7&gt;=40,"⚠️ ATENCIÓN","🚨 CRÍTICO")))</f>
        <v>🚨 CRÍTICO</v>
      </c>
      <c r="I7" s="48" t="s">
        <v>148</v>
      </c>
      <c r="J7" s="30"/>
      <c r="K7" s="49" t="s">
        <v>151</v>
      </c>
    </row>
    <row r="8" customFormat="false" ht="19.5" hidden="false" customHeight="true" outlineLevel="0" collapsed="false">
      <c r="B8" s="43" t="s">
        <v>34</v>
      </c>
      <c r="C8" s="44" t="s">
        <v>144</v>
      </c>
      <c r="D8" s="45" t="s">
        <v>152</v>
      </c>
      <c r="E8" s="30" t="s">
        <v>153</v>
      </c>
      <c r="F8" s="46" t="s">
        <v>154</v>
      </c>
      <c r="G8" s="32" t="n">
        <v>92</v>
      </c>
      <c r="H8" s="47" t="str">
        <f aca="false">IF(G8="","⬜ SIN DATOS",IF(G8&gt;=85,"✅ OK",IF(G8&gt;=40,"⚠️ ATENCIÓN","🚨 CRÍTICO")))</f>
        <v>✅ OK</v>
      </c>
      <c r="I8" s="48" t="s">
        <v>155</v>
      </c>
      <c r="J8" s="30"/>
      <c r="K8" s="49" t="s">
        <v>156</v>
      </c>
    </row>
    <row r="9" customFormat="false" ht="19.5" hidden="false" customHeight="true" outlineLevel="0" collapsed="false">
      <c r="B9" s="43" t="s">
        <v>35</v>
      </c>
      <c r="C9" s="44" t="s">
        <v>144</v>
      </c>
      <c r="D9" s="45" t="s">
        <v>152</v>
      </c>
      <c r="E9" s="30" t="s">
        <v>157</v>
      </c>
      <c r="F9" s="46" t="s">
        <v>154</v>
      </c>
      <c r="G9" s="32" t="n">
        <v>65</v>
      </c>
      <c r="H9" s="47" t="str">
        <f aca="false">IF(G9="","⬜ SIN DATOS",IF(G9&gt;=85,"✅ OK",IF(G9&gt;=40,"⚠️ ATENCIÓN","🚨 CRÍTICO")))</f>
        <v>⚠️ ATENCIÓN</v>
      </c>
      <c r="I9" s="48" t="s">
        <v>155</v>
      </c>
      <c r="J9" s="30"/>
      <c r="K9" s="49" t="s">
        <v>158</v>
      </c>
    </row>
    <row r="10" customFormat="false" ht="19.5" hidden="false" customHeight="true" outlineLevel="0" collapsed="false">
      <c r="B10" s="43" t="s">
        <v>36</v>
      </c>
      <c r="C10" s="44" t="s">
        <v>144</v>
      </c>
      <c r="D10" s="45" t="s">
        <v>152</v>
      </c>
      <c r="E10" s="30" t="s">
        <v>159</v>
      </c>
      <c r="F10" s="46" t="s">
        <v>160</v>
      </c>
      <c r="G10" s="32" t="n">
        <v>15</v>
      </c>
      <c r="H10" s="47" t="str">
        <f aca="false">IF(G10="","⬜ SIN DATOS",IF(G10&gt;=85,"✅ OK",IF(G10&gt;=40,"⚠️ ATENCIÓN","🚨 CRÍTICO")))</f>
        <v>🚨 CRÍTICO</v>
      </c>
      <c r="I10" s="48" t="s">
        <v>155</v>
      </c>
      <c r="J10" s="30"/>
      <c r="K10" s="49" t="s">
        <v>161</v>
      </c>
    </row>
    <row r="11" customFormat="false" ht="19.5" hidden="false" customHeight="true" outlineLevel="0" collapsed="false">
      <c r="B11" s="43" t="s">
        <v>37</v>
      </c>
      <c r="C11" s="44" t="s">
        <v>144</v>
      </c>
      <c r="D11" s="45" t="s">
        <v>152</v>
      </c>
      <c r="E11" s="30" t="s">
        <v>162</v>
      </c>
      <c r="F11" s="46" t="s">
        <v>160</v>
      </c>
      <c r="G11" s="32" t="n">
        <v>15</v>
      </c>
      <c r="H11" s="47" t="str">
        <f aca="false">IF(G11="","⬜ SIN DATOS",IF(G11&gt;=85,"✅ OK",IF(G11&gt;=40,"⚠️ ATENCIÓN","🚨 CRÍTICO")))</f>
        <v>🚨 CRÍTICO</v>
      </c>
      <c r="I11" s="48" t="s">
        <v>155</v>
      </c>
      <c r="J11" s="30"/>
      <c r="K11" s="49" t="s">
        <v>163</v>
      </c>
    </row>
    <row r="12" customFormat="false" ht="19.5" hidden="false" customHeight="true" outlineLevel="0" collapsed="false">
      <c r="B12" s="50" t="s">
        <v>164</v>
      </c>
      <c r="C12" s="44" t="s">
        <v>144</v>
      </c>
      <c r="D12" s="45" t="s">
        <v>165</v>
      </c>
      <c r="E12" s="30" t="s">
        <v>150</v>
      </c>
      <c r="F12" s="46" t="s">
        <v>166</v>
      </c>
      <c r="G12" s="32" t="n">
        <v>0</v>
      </c>
      <c r="H12" s="47" t="str">
        <f aca="false">IF(G12="","⬜ SIN DATOS",IF(G12&gt;=85,"✅ OK",IF(G12&gt;=40,"⚠️ ATENCIÓN","🚨 CRÍTICO")))</f>
        <v>🚨 CRÍTICO</v>
      </c>
      <c r="I12" s="48" t="s">
        <v>148</v>
      </c>
      <c r="J12" s="30"/>
      <c r="K12" s="49" t="s">
        <v>167</v>
      </c>
    </row>
    <row r="13" customFormat="false" ht="19.5" hidden="false" customHeight="true" outlineLevel="0" collapsed="false">
      <c r="B13" s="50" t="s">
        <v>164</v>
      </c>
      <c r="C13" s="44" t="s">
        <v>144</v>
      </c>
      <c r="D13" s="45" t="s">
        <v>168</v>
      </c>
      <c r="E13" s="30" t="s">
        <v>150</v>
      </c>
      <c r="F13" s="46" t="s">
        <v>169</v>
      </c>
      <c r="G13" s="32" t="n">
        <v>0</v>
      </c>
      <c r="H13" s="47" t="str">
        <f aca="false">IF(G13="","⬜ SIN DATOS",IF(G13&gt;=85,"✅ OK",IF(G13&gt;=40,"⚠️ ATENCIÓN","🚨 CRÍTICO")))</f>
        <v>🚨 CRÍTICO</v>
      </c>
      <c r="I13" s="48" t="s">
        <v>148</v>
      </c>
      <c r="J13" s="30"/>
      <c r="K13" s="49" t="s">
        <v>170</v>
      </c>
    </row>
    <row r="14" customFormat="false" ht="19.5" hidden="false" customHeight="true" outlineLevel="0" collapsed="false">
      <c r="B14" s="51" t="s">
        <v>37</v>
      </c>
      <c r="C14" s="52" t="s">
        <v>171</v>
      </c>
      <c r="D14" s="45" t="s">
        <v>172</v>
      </c>
      <c r="E14" s="30" t="s">
        <v>173</v>
      </c>
      <c r="F14" s="46" t="s">
        <v>174</v>
      </c>
      <c r="G14" s="32" t="n">
        <v>25</v>
      </c>
      <c r="H14" s="47" t="str">
        <f aca="false">IF(G14="","⬜ SIN DATOS",IF(G14&gt;=85,"✅ OK",IF(G14&gt;=40,"⚠️ ATENCIÓN","🚨 CRÍTICO")))</f>
        <v>🚨 CRÍTICO</v>
      </c>
      <c r="I14" s="48" t="s">
        <v>175</v>
      </c>
      <c r="J14" s="30"/>
      <c r="K14" s="49" t="s">
        <v>176</v>
      </c>
    </row>
    <row r="15" customFormat="false" ht="19.5" hidden="false" customHeight="true" outlineLevel="0" collapsed="false">
      <c r="B15" s="51" t="s">
        <v>34</v>
      </c>
      <c r="C15" s="52" t="s">
        <v>171</v>
      </c>
      <c r="D15" s="45" t="s">
        <v>172</v>
      </c>
      <c r="E15" s="30" t="s">
        <v>150</v>
      </c>
      <c r="F15" s="46" t="s">
        <v>174</v>
      </c>
      <c r="G15" s="32" t="n">
        <v>0</v>
      </c>
      <c r="H15" s="47" t="str">
        <f aca="false">IF(G15="","⬜ SIN DATOS",IF(G15&gt;=85,"✅ OK",IF(G15&gt;=40,"⚠️ ATENCIÓN","🚨 CRÍTICO")))</f>
        <v>🚨 CRÍTICO</v>
      </c>
      <c r="I15" s="48" t="s">
        <v>175</v>
      </c>
      <c r="J15" s="30"/>
      <c r="K15" s="49" t="s">
        <v>177</v>
      </c>
    </row>
    <row r="16" customFormat="false" ht="19.5" hidden="false" customHeight="true" outlineLevel="0" collapsed="false">
      <c r="B16" s="51" t="s">
        <v>35</v>
      </c>
      <c r="C16" s="52" t="s">
        <v>171</v>
      </c>
      <c r="D16" s="45" t="s">
        <v>172</v>
      </c>
      <c r="E16" s="30" t="s">
        <v>150</v>
      </c>
      <c r="F16" s="46" t="s">
        <v>174</v>
      </c>
      <c r="G16" s="32" t="n">
        <v>0</v>
      </c>
      <c r="H16" s="47" t="str">
        <f aca="false">IF(G16="","⬜ SIN DATOS",IF(G16&gt;=85,"✅ OK",IF(G16&gt;=40,"⚠️ ATENCIÓN","🚨 CRÍTICO")))</f>
        <v>🚨 CRÍTICO</v>
      </c>
      <c r="I16" s="48" t="s">
        <v>175</v>
      </c>
      <c r="J16" s="30"/>
      <c r="K16" s="49" t="s">
        <v>177</v>
      </c>
    </row>
    <row r="17" customFormat="false" ht="19.5" hidden="false" customHeight="true" outlineLevel="0" collapsed="false">
      <c r="B17" s="51" t="s">
        <v>36</v>
      </c>
      <c r="C17" s="52" t="s">
        <v>171</v>
      </c>
      <c r="D17" s="45" t="s">
        <v>172</v>
      </c>
      <c r="E17" s="30" t="s">
        <v>150</v>
      </c>
      <c r="F17" s="46" t="s">
        <v>174</v>
      </c>
      <c r="G17" s="32" t="n">
        <v>0</v>
      </c>
      <c r="H17" s="47" t="str">
        <f aca="false">IF(G17="","⬜ SIN DATOS",IF(G17&gt;=85,"✅ OK",IF(G17&gt;=40,"⚠️ ATENCIÓN","🚨 CRÍTICO")))</f>
        <v>🚨 CRÍTICO</v>
      </c>
      <c r="I17" s="48" t="s">
        <v>175</v>
      </c>
      <c r="J17" s="30"/>
      <c r="K17" s="49" t="s">
        <v>177</v>
      </c>
    </row>
    <row r="18" customFormat="false" ht="19.5" hidden="false" customHeight="true" outlineLevel="0" collapsed="false">
      <c r="B18" s="51" t="s">
        <v>37</v>
      </c>
      <c r="C18" s="52" t="s">
        <v>171</v>
      </c>
      <c r="D18" s="45" t="s">
        <v>178</v>
      </c>
      <c r="E18" s="30" t="s">
        <v>179</v>
      </c>
      <c r="F18" s="46" t="s">
        <v>180</v>
      </c>
      <c r="G18" s="32" t="n">
        <v>30</v>
      </c>
      <c r="H18" s="47" t="str">
        <f aca="false">IF(G18="","⬜ SIN DATOS",IF(G18&gt;=85,"✅ OK",IF(G18&gt;=40,"⚠️ ATENCIÓN","🚨 CRÍTICO")))</f>
        <v>🚨 CRÍTICO</v>
      </c>
      <c r="I18" s="48" t="s">
        <v>175</v>
      </c>
      <c r="J18" s="30"/>
      <c r="K18" s="49" t="s">
        <v>181</v>
      </c>
    </row>
    <row r="19" customFormat="false" ht="19.5" hidden="false" customHeight="true" outlineLevel="0" collapsed="false">
      <c r="B19" s="51" t="s">
        <v>34</v>
      </c>
      <c r="C19" s="52" t="s">
        <v>171</v>
      </c>
      <c r="D19" s="45" t="s">
        <v>178</v>
      </c>
      <c r="E19" s="30" t="s">
        <v>150</v>
      </c>
      <c r="F19" s="46" t="s">
        <v>180</v>
      </c>
      <c r="G19" s="32" t="n">
        <v>0</v>
      </c>
      <c r="H19" s="47" t="str">
        <f aca="false">IF(G19="","⬜ SIN DATOS",IF(G19&gt;=85,"✅ OK",IF(G19&gt;=40,"⚠️ ATENCIÓN","🚨 CRÍTICO")))</f>
        <v>🚨 CRÍTICO</v>
      </c>
      <c r="I19" s="48" t="s">
        <v>175</v>
      </c>
      <c r="J19" s="30"/>
      <c r="K19" s="49" t="s">
        <v>182</v>
      </c>
    </row>
    <row r="20" customFormat="false" ht="19.5" hidden="false" customHeight="true" outlineLevel="0" collapsed="false">
      <c r="B20" s="51" t="s">
        <v>35</v>
      </c>
      <c r="C20" s="52" t="s">
        <v>171</v>
      </c>
      <c r="D20" s="45" t="s">
        <v>178</v>
      </c>
      <c r="E20" s="30" t="s">
        <v>150</v>
      </c>
      <c r="F20" s="46" t="s">
        <v>180</v>
      </c>
      <c r="G20" s="32" t="n">
        <v>0</v>
      </c>
      <c r="H20" s="47" t="str">
        <f aca="false">IF(G20="","⬜ SIN DATOS",IF(G20&gt;=85,"✅ OK",IF(G20&gt;=40,"⚠️ ATENCIÓN","🚨 CRÍTICO")))</f>
        <v>🚨 CRÍTICO</v>
      </c>
      <c r="I20" s="48" t="s">
        <v>175</v>
      </c>
      <c r="J20" s="30"/>
      <c r="K20" s="49" t="s">
        <v>182</v>
      </c>
    </row>
    <row r="21" customFormat="false" ht="19.5" hidden="false" customHeight="true" outlineLevel="0" collapsed="false">
      <c r="B21" s="51" t="s">
        <v>36</v>
      </c>
      <c r="C21" s="52" t="s">
        <v>171</v>
      </c>
      <c r="D21" s="45" t="s">
        <v>178</v>
      </c>
      <c r="E21" s="30" t="s">
        <v>150</v>
      </c>
      <c r="F21" s="46" t="s">
        <v>180</v>
      </c>
      <c r="G21" s="32" t="n">
        <v>0</v>
      </c>
      <c r="H21" s="47" t="str">
        <f aca="false">IF(G21="","⬜ SIN DATOS",IF(G21&gt;=85,"✅ OK",IF(G21&gt;=40,"⚠️ ATENCIÓN","🚨 CRÍTICO")))</f>
        <v>🚨 CRÍTICO</v>
      </c>
      <c r="I21" s="48" t="s">
        <v>175</v>
      </c>
      <c r="J21" s="30"/>
      <c r="K21" s="49" t="s">
        <v>182</v>
      </c>
    </row>
    <row r="22" customFormat="false" ht="19.5" hidden="false" customHeight="true" outlineLevel="0" collapsed="false">
      <c r="B22" s="51" t="s">
        <v>37</v>
      </c>
      <c r="C22" s="52" t="s">
        <v>171</v>
      </c>
      <c r="D22" s="45" t="s">
        <v>183</v>
      </c>
      <c r="E22" s="30" t="s">
        <v>184</v>
      </c>
      <c r="F22" s="46" t="s">
        <v>185</v>
      </c>
      <c r="G22" s="32" t="n">
        <v>25</v>
      </c>
      <c r="H22" s="47" t="str">
        <f aca="false">IF(G22="","⬜ SIN DATOS",IF(G22&gt;=85,"✅ OK",IF(G22&gt;=40,"⚠️ ATENCIÓN","🚨 CRÍTICO")))</f>
        <v>🚨 CRÍTICO</v>
      </c>
      <c r="I22" s="48" t="s">
        <v>175</v>
      </c>
      <c r="J22" s="30"/>
      <c r="K22" s="49" t="s">
        <v>186</v>
      </c>
    </row>
    <row r="23" customFormat="false" ht="19.5" hidden="false" customHeight="true" outlineLevel="0" collapsed="false">
      <c r="B23" s="53" t="s">
        <v>164</v>
      </c>
      <c r="C23" s="52" t="s">
        <v>171</v>
      </c>
      <c r="D23" s="45" t="s">
        <v>187</v>
      </c>
      <c r="E23" s="30" t="s">
        <v>150</v>
      </c>
      <c r="F23" s="46" t="s">
        <v>188</v>
      </c>
      <c r="G23" s="32" t="n">
        <v>0</v>
      </c>
      <c r="H23" s="47" t="str">
        <f aca="false">IF(G23="","⬜ SIN DATOS",IF(G23&gt;=85,"✅ OK",IF(G23&gt;=40,"⚠️ ATENCIÓN","🚨 CRÍTICO")))</f>
        <v>🚨 CRÍTICO</v>
      </c>
      <c r="I23" s="48" t="s">
        <v>175</v>
      </c>
      <c r="J23" s="30"/>
      <c r="K23" s="49" t="s">
        <v>189</v>
      </c>
    </row>
    <row r="24" customFormat="false" ht="19.5" hidden="false" customHeight="true" outlineLevel="0" collapsed="false">
      <c r="B24" s="51" t="s">
        <v>37</v>
      </c>
      <c r="C24" s="52" t="s">
        <v>171</v>
      </c>
      <c r="D24" s="45" t="s">
        <v>190</v>
      </c>
      <c r="E24" s="30" t="s">
        <v>191</v>
      </c>
      <c r="F24" s="46" t="s">
        <v>192</v>
      </c>
      <c r="G24" s="32" t="n">
        <v>20</v>
      </c>
      <c r="H24" s="47" t="str">
        <f aca="false">IF(G24="","⬜ SIN DATOS",IF(G24&gt;=85,"✅ OK",IF(G24&gt;=40,"⚠️ ATENCIÓN","🚨 CRÍTICO")))</f>
        <v>🚨 CRÍTICO</v>
      </c>
      <c r="I24" s="48" t="s">
        <v>175</v>
      </c>
      <c r="J24" s="30"/>
      <c r="K24" s="49" t="s">
        <v>193</v>
      </c>
    </row>
    <row r="25" customFormat="false" ht="19.5" hidden="false" customHeight="true" outlineLevel="0" collapsed="false">
      <c r="B25" s="54" t="s">
        <v>164</v>
      </c>
      <c r="C25" s="55" t="s">
        <v>194</v>
      </c>
      <c r="D25" s="45" t="s">
        <v>195</v>
      </c>
      <c r="E25" s="30" t="s">
        <v>196</v>
      </c>
      <c r="F25" s="46" t="s">
        <v>197</v>
      </c>
      <c r="G25" s="32" t="n">
        <v>0</v>
      </c>
      <c r="H25" s="47" t="str">
        <f aca="false">IF(G25="","⬜ SIN DATOS",IF(G25&gt;=85,"✅ OK",IF(G25&gt;=40,"⚠️ ATENCIÓN","🚨 CRÍTICO")))</f>
        <v>🚨 CRÍTICO</v>
      </c>
      <c r="I25" s="48" t="s">
        <v>148</v>
      </c>
      <c r="J25" s="30"/>
      <c r="K25" s="49" t="s">
        <v>198</v>
      </c>
    </row>
    <row r="26" customFormat="false" ht="19.5" hidden="false" customHeight="true" outlineLevel="0" collapsed="false">
      <c r="B26" s="54" t="s">
        <v>164</v>
      </c>
      <c r="C26" s="55" t="s">
        <v>194</v>
      </c>
      <c r="D26" s="45" t="s">
        <v>199</v>
      </c>
      <c r="E26" s="30" t="s">
        <v>132</v>
      </c>
      <c r="F26" s="46" t="s">
        <v>200</v>
      </c>
      <c r="G26" s="32" t="n">
        <v>2</v>
      </c>
      <c r="H26" s="47" t="str">
        <f aca="false">IF(G26="","⬜ SIN DATOS",IF(G26&gt;=85,"✅ OK",IF(G26&gt;=40,"⚠️ ATENCIÓN","🚨 CRÍTICO")))</f>
        <v>🚨 CRÍTICO</v>
      </c>
      <c r="I26" s="48" t="s">
        <v>148</v>
      </c>
      <c r="J26" s="30"/>
      <c r="K26" s="49" t="s">
        <v>201</v>
      </c>
    </row>
    <row r="27" customFormat="false" ht="19.5" hidden="false" customHeight="true" outlineLevel="0" collapsed="false">
      <c r="B27" s="54" t="s">
        <v>164</v>
      </c>
      <c r="C27" s="55" t="s">
        <v>194</v>
      </c>
      <c r="D27" s="45" t="s">
        <v>202</v>
      </c>
      <c r="E27" s="30" t="s">
        <v>150</v>
      </c>
      <c r="F27" s="46" t="s">
        <v>203</v>
      </c>
      <c r="G27" s="30"/>
      <c r="H27" s="47" t="str">
        <f aca="false">IF(G27="","⬜ SIN DATOS",IF(G27&gt;=85,"✅ OK",IF(G27&gt;=40,"⚠️ ATENCIÓN","🚨 CRÍTICO")))</f>
        <v>⬜ SIN DATOS</v>
      </c>
      <c r="I27" s="48" t="s">
        <v>148</v>
      </c>
      <c r="J27" s="30"/>
      <c r="K27" s="49" t="s">
        <v>204</v>
      </c>
    </row>
    <row r="28" customFormat="false" ht="19.5" hidden="false" customHeight="true" outlineLevel="0" collapsed="false">
      <c r="B28" s="54" t="s">
        <v>164</v>
      </c>
      <c r="C28" s="55" t="s">
        <v>194</v>
      </c>
      <c r="D28" s="45" t="s">
        <v>205</v>
      </c>
      <c r="E28" s="30" t="s">
        <v>150</v>
      </c>
      <c r="F28" s="46" t="s">
        <v>206</v>
      </c>
      <c r="G28" s="30"/>
      <c r="H28" s="47" t="str">
        <f aca="false">IF(G28="","⬜ SIN DATOS",IF(G28&gt;=85,"✅ OK",IF(G28&gt;=40,"⚠️ ATENCIÓN","🚨 CRÍTICO")))</f>
        <v>⬜ SIN DATOS</v>
      </c>
      <c r="I28" s="48" t="s">
        <v>148</v>
      </c>
      <c r="J28" s="30"/>
      <c r="K28" s="49" t="s">
        <v>207</v>
      </c>
    </row>
    <row r="29" customFormat="false" ht="19.5" hidden="false" customHeight="true" outlineLevel="0" collapsed="false">
      <c r="B29" s="56" t="s">
        <v>164</v>
      </c>
      <c r="C29" s="57" t="s">
        <v>208</v>
      </c>
      <c r="D29" s="45" t="s">
        <v>209</v>
      </c>
      <c r="E29" s="30" t="s">
        <v>150</v>
      </c>
      <c r="F29" s="46" t="s">
        <v>210</v>
      </c>
      <c r="G29" s="30"/>
      <c r="H29" s="47" t="str">
        <f aca="false">IF(G29="","⬜ SIN DATOS",IF(G29&gt;=85,"✅ OK",IF(G29&gt;=40,"⚠️ ATENCIÓN","🚨 CRÍTICO")))</f>
        <v>⬜ SIN DATOS</v>
      </c>
      <c r="I29" s="48" t="s">
        <v>148</v>
      </c>
      <c r="J29" s="30"/>
      <c r="K29" s="49" t="s">
        <v>211</v>
      </c>
    </row>
    <row r="30" customFormat="false" ht="19.5" hidden="false" customHeight="true" outlineLevel="0" collapsed="false">
      <c r="B30" s="56" t="s">
        <v>164</v>
      </c>
      <c r="C30" s="57" t="s">
        <v>208</v>
      </c>
      <c r="D30" s="45" t="s">
        <v>212</v>
      </c>
      <c r="E30" s="30" t="s">
        <v>150</v>
      </c>
      <c r="F30" s="46" t="s">
        <v>213</v>
      </c>
      <c r="G30" s="30"/>
      <c r="H30" s="47" t="str">
        <f aca="false">IF(G30="","⬜ SIN DATOS",IF(G30&gt;=85,"✅ OK",IF(G30&gt;=40,"⚠️ ATENCIÓN","🚨 CRÍTICO")))</f>
        <v>⬜ SIN DATOS</v>
      </c>
      <c r="I30" s="48" t="s">
        <v>148</v>
      </c>
      <c r="J30" s="30"/>
      <c r="K30" s="49" t="s">
        <v>214</v>
      </c>
    </row>
    <row r="31" customFormat="false" ht="19.5" hidden="false" customHeight="true" outlineLevel="0" collapsed="false">
      <c r="B31" s="56" t="s">
        <v>164</v>
      </c>
      <c r="C31" s="57" t="s">
        <v>208</v>
      </c>
      <c r="D31" s="45" t="s">
        <v>215</v>
      </c>
      <c r="E31" s="30" t="s">
        <v>150</v>
      </c>
      <c r="F31" s="46" t="s">
        <v>216</v>
      </c>
      <c r="G31" s="30"/>
      <c r="H31" s="47" t="str">
        <f aca="false">IF(G31="","⬜ SIN DATOS",IF(G31&gt;=85,"✅ OK",IF(G31&gt;=40,"⚠️ ATENCIÓN","🚨 CRÍTICO")))</f>
        <v>⬜ SIN DATOS</v>
      </c>
      <c r="I31" s="48" t="s">
        <v>148</v>
      </c>
      <c r="J31" s="30"/>
      <c r="K31" s="49" t="s">
        <v>217</v>
      </c>
    </row>
    <row r="32" customFormat="false" ht="19.5" hidden="false" customHeight="true" outlineLevel="0" collapsed="false">
      <c r="B32" s="56" t="s">
        <v>164</v>
      </c>
      <c r="C32" s="57" t="s">
        <v>208</v>
      </c>
      <c r="D32" s="45" t="s">
        <v>218</v>
      </c>
      <c r="E32" s="30" t="s">
        <v>150</v>
      </c>
      <c r="F32" s="46" t="s">
        <v>219</v>
      </c>
      <c r="G32" s="30"/>
      <c r="H32" s="47" t="str">
        <f aca="false">IF(G32="","⬜ SIN DATOS",IF(G32&gt;=85,"✅ OK",IF(G32&gt;=40,"⚠️ ATENCIÓN","🚨 CRÍTICO")))</f>
        <v>⬜ SIN DATOS</v>
      </c>
      <c r="I32" s="48" t="s">
        <v>148</v>
      </c>
      <c r="J32" s="30"/>
      <c r="K32" s="49" t="s">
        <v>220</v>
      </c>
    </row>
    <row r="33" customFormat="false" ht="19.5" hidden="false" customHeight="true" outlineLevel="0" collapsed="false">
      <c r="B33" s="58" t="s">
        <v>34</v>
      </c>
      <c r="C33" s="59" t="s">
        <v>221</v>
      </c>
      <c r="D33" s="45" t="s">
        <v>222</v>
      </c>
      <c r="E33" s="30" t="s">
        <v>223</v>
      </c>
      <c r="F33" s="46" t="s">
        <v>224</v>
      </c>
      <c r="G33" s="32" t="n">
        <v>74</v>
      </c>
      <c r="H33" s="47" t="str">
        <f aca="false">IF(G33="","⬜ SIN DATOS",IF(G33&gt;=85,"✅ OK",IF(G33&gt;=40,"⚠️ ATENCIÓN","🚨 CRÍTICO")))</f>
        <v>⚠️ ATENCIÓN</v>
      </c>
      <c r="I33" s="48" t="s">
        <v>175</v>
      </c>
      <c r="J33" s="30"/>
      <c r="K33" s="49" t="s">
        <v>225</v>
      </c>
    </row>
    <row r="34" customFormat="false" ht="19.5" hidden="false" customHeight="true" outlineLevel="0" collapsed="false">
      <c r="B34" s="58" t="s">
        <v>35</v>
      </c>
      <c r="C34" s="59" t="s">
        <v>221</v>
      </c>
      <c r="D34" s="45" t="s">
        <v>222</v>
      </c>
      <c r="E34" s="30" t="s">
        <v>226</v>
      </c>
      <c r="F34" s="46" t="s">
        <v>224</v>
      </c>
      <c r="G34" s="32" t="n">
        <v>97</v>
      </c>
      <c r="H34" s="47" t="str">
        <f aca="false">IF(G34="","⬜ SIN DATOS",IF(G34&gt;=85,"✅ OK",IF(G34&gt;=40,"⚠️ ATENCIÓN","🚨 CRÍTICO")))</f>
        <v>✅ OK</v>
      </c>
      <c r="I34" s="48" t="s">
        <v>175</v>
      </c>
      <c r="J34" s="30"/>
      <c r="K34" s="49" t="s">
        <v>227</v>
      </c>
    </row>
    <row r="35" customFormat="false" ht="19.5" hidden="false" customHeight="true" outlineLevel="0" collapsed="false">
      <c r="B35" s="58" t="s">
        <v>36</v>
      </c>
      <c r="C35" s="59" t="s">
        <v>221</v>
      </c>
      <c r="D35" s="45" t="s">
        <v>222</v>
      </c>
      <c r="E35" s="30" t="s">
        <v>157</v>
      </c>
      <c r="F35" s="46" t="s">
        <v>228</v>
      </c>
      <c r="G35" s="32" t="n">
        <v>80</v>
      </c>
      <c r="H35" s="47" t="str">
        <f aca="false">IF(G35="","⬜ SIN DATOS",IF(G35&gt;=85,"✅ OK",IF(G35&gt;=40,"⚠️ ATENCIÓN","🚨 CRÍTICO")))</f>
        <v>⚠️ ATENCIÓN</v>
      </c>
      <c r="I35" s="48" t="s">
        <v>175</v>
      </c>
      <c r="J35" s="30"/>
      <c r="K35" s="49" t="s">
        <v>229</v>
      </c>
    </row>
    <row r="36" customFormat="false" ht="19.5" hidden="false" customHeight="true" outlineLevel="0" collapsed="false">
      <c r="B36" s="58" t="s">
        <v>37</v>
      </c>
      <c r="C36" s="59" t="s">
        <v>221</v>
      </c>
      <c r="D36" s="45" t="s">
        <v>222</v>
      </c>
      <c r="E36" s="30" t="s">
        <v>230</v>
      </c>
      <c r="F36" s="46" t="s">
        <v>224</v>
      </c>
      <c r="G36" s="32" t="n">
        <v>79</v>
      </c>
      <c r="H36" s="47" t="str">
        <f aca="false">IF(G36="","⬜ SIN DATOS",IF(G36&gt;=85,"✅ OK",IF(G36&gt;=40,"⚠️ ATENCIÓN","🚨 CRÍTICO")))</f>
        <v>⚠️ ATENCIÓN</v>
      </c>
      <c r="I36" s="48" t="s">
        <v>175</v>
      </c>
      <c r="J36" s="30"/>
      <c r="K36" s="49" t="s">
        <v>231</v>
      </c>
    </row>
    <row r="37" customFormat="false" ht="19.5" hidden="false" customHeight="true" outlineLevel="0" collapsed="false">
      <c r="B37" s="58" t="s">
        <v>34</v>
      </c>
      <c r="C37" s="59" t="s">
        <v>221</v>
      </c>
      <c r="D37" s="45" t="s">
        <v>123</v>
      </c>
      <c r="E37" s="30" t="s">
        <v>232</v>
      </c>
      <c r="F37" s="46" t="s">
        <v>233</v>
      </c>
      <c r="G37" s="32" t="n">
        <v>67</v>
      </c>
      <c r="H37" s="47" t="str">
        <f aca="false">IF(G37="","⬜ SIN DATOS",IF(G37&gt;=85,"✅ OK",IF(G37&gt;=40,"⚠️ ATENCIÓN","🚨 CRÍTICO")))</f>
        <v>⚠️ ATENCIÓN</v>
      </c>
      <c r="I37" s="48" t="s">
        <v>175</v>
      </c>
      <c r="J37" s="30"/>
      <c r="K37" s="49" t="s">
        <v>2</v>
      </c>
    </row>
    <row r="38" customFormat="false" ht="19.5" hidden="false" customHeight="true" outlineLevel="0" collapsed="false">
      <c r="B38" s="58" t="s">
        <v>35</v>
      </c>
      <c r="C38" s="59" t="s">
        <v>221</v>
      </c>
      <c r="D38" s="45" t="s">
        <v>123</v>
      </c>
      <c r="E38" s="30" t="s">
        <v>234</v>
      </c>
      <c r="F38" s="46" t="s">
        <v>235</v>
      </c>
      <c r="G38" s="32" t="n">
        <v>90</v>
      </c>
      <c r="H38" s="47" t="str">
        <f aca="false">IF(G38="","⬜ SIN DATOS",IF(G38&gt;=85,"✅ OK",IF(G38&gt;=40,"⚠️ ATENCIÓN","🚨 CRÍTICO")))</f>
        <v>✅ OK</v>
      </c>
      <c r="I38" s="48" t="s">
        <v>175</v>
      </c>
      <c r="J38" s="30"/>
      <c r="K38" s="49" t="s">
        <v>2</v>
      </c>
    </row>
    <row r="39" customFormat="false" ht="19.5" hidden="false" customHeight="true" outlineLevel="0" collapsed="false">
      <c r="B39" s="58" t="s">
        <v>36</v>
      </c>
      <c r="C39" s="59" t="s">
        <v>221</v>
      </c>
      <c r="D39" s="45" t="s">
        <v>123</v>
      </c>
      <c r="E39" s="30" t="s">
        <v>236</v>
      </c>
      <c r="F39" s="46" t="s">
        <v>237</v>
      </c>
      <c r="G39" s="32" t="n">
        <v>36</v>
      </c>
      <c r="H39" s="47" t="str">
        <f aca="false">IF(G39="","⬜ SIN DATOS",IF(G39&gt;=85,"✅ OK",IF(G39&gt;=40,"⚠️ ATENCIÓN","🚨 CRÍTICO")))</f>
        <v>🚨 CRÍTICO</v>
      </c>
      <c r="I39" s="48" t="s">
        <v>175</v>
      </c>
      <c r="J39" s="30"/>
      <c r="K39" s="49" t="s">
        <v>238</v>
      </c>
    </row>
    <row r="40" customFormat="false" ht="19.5" hidden="false" customHeight="true" outlineLevel="0" collapsed="false">
      <c r="B40" s="58" t="s">
        <v>37</v>
      </c>
      <c r="C40" s="59" t="s">
        <v>221</v>
      </c>
      <c r="D40" s="45" t="s">
        <v>123</v>
      </c>
      <c r="E40" s="30" t="s">
        <v>239</v>
      </c>
      <c r="F40" s="46" t="s">
        <v>240</v>
      </c>
      <c r="G40" s="32" t="n">
        <v>81</v>
      </c>
      <c r="H40" s="47" t="str">
        <f aca="false">IF(G40="","⬜ SIN DATOS",IF(G40&gt;=85,"✅ OK",IF(G40&gt;=40,"⚠️ ATENCIÓN","🚨 CRÍTICO")))</f>
        <v>⚠️ ATENCIÓN</v>
      </c>
      <c r="I40" s="48" t="s">
        <v>175</v>
      </c>
      <c r="J40" s="30"/>
      <c r="K40" s="49" t="s">
        <v>2</v>
      </c>
    </row>
    <row r="41" customFormat="false" ht="19.5" hidden="false" customHeight="true" outlineLevel="0" collapsed="false">
      <c r="B41" s="60" t="s">
        <v>164</v>
      </c>
      <c r="C41" s="59" t="s">
        <v>221</v>
      </c>
      <c r="D41" s="45" t="s">
        <v>241</v>
      </c>
      <c r="E41" s="30" t="s">
        <v>132</v>
      </c>
      <c r="F41" s="46" t="s">
        <v>242</v>
      </c>
      <c r="G41" s="32" t="n">
        <v>1</v>
      </c>
      <c r="H41" s="47" t="str">
        <f aca="false">IF(G41="","⬜ SIN DATOS",IF(G41&gt;=85,"✅ OK",IF(G41&gt;=40,"⚠️ ATENCIÓN","🚨 CRÍTICO")))</f>
        <v>🚨 CRÍTICO</v>
      </c>
      <c r="I41" s="48" t="s">
        <v>148</v>
      </c>
      <c r="J41" s="30"/>
      <c r="K41" s="49" t="s">
        <v>243</v>
      </c>
    </row>
    <row r="42" customFormat="false" ht="19.5" hidden="false" customHeight="true" outlineLevel="0" collapsed="false">
      <c r="B42" s="58" t="s">
        <v>35</v>
      </c>
      <c r="C42" s="59" t="s">
        <v>221</v>
      </c>
      <c r="D42" s="45" t="s">
        <v>244</v>
      </c>
      <c r="E42" s="30" t="s">
        <v>150</v>
      </c>
      <c r="F42" s="46" t="s">
        <v>245</v>
      </c>
      <c r="G42" s="30"/>
      <c r="H42" s="47" t="str">
        <f aca="false">IF(G42="","⬜ SIN DATOS",IF(G42&gt;=85,"✅ OK",IF(G42&gt;=40,"⚠️ ATENCIÓN","🚨 CRÍTICO")))</f>
        <v>⬜ SIN DATOS</v>
      </c>
      <c r="I42" s="48" t="s">
        <v>148</v>
      </c>
      <c r="J42" s="30"/>
      <c r="K42" s="49" t="s">
        <v>246</v>
      </c>
    </row>
    <row r="43" customFormat="false" ht="19.5" hidden="false" customHeight="true" outlineLevel="0" collapsed="false">
      <c r="B43" s="58" t="s">
        <v>34</v>
      </c>
      <c r="C43" s="59" t="s">
        <v>221</v>
      </c>
      <c r="D43" s="45" t="s">
        <v>244</v>
      </c>
      <c r="E43" s="30" t="s">
        <v>150</v>
      </c>
      <c r="F43" s="46" t="s">
        <v>247</v>
      </c>
      <c r="G43" s="30"/>
      <c r="H43" s="47" t="str">
        <f aca="false">IF(G43="","⬜ SIN DATOS",IF(G43&gt;=85,"✅ OK",IF(G43&gt;=40,"⚠️ ATENCIÓN","🚨 CRÍTICO")))</f>
        <v>⬜ SIN DATOS</v>
      </c>
      <c r="I43" s="48" t="s">
        <v>148</v>
      </c>
      <c r="J43" s="30"/>
      <c r="K43" s="49" t="s">
        <v>246</v>
      </c>
    </row>
    <row r="44" customFormat="false" ht="19.5" hidden="false" customHeight="true" outlineLevel="0" collapsed="false">
      <c r="B44" s="58" t="s">
        <v>36</v>
      </c>
      <c r="C44" s="59" t="s">
        <v>221</v>
      </c>
      <c r="D44" s="45" t="s">
        <v>244</v>
      </c>
      <c r="E44" s="30" t="s">
        <v>150</v>
      </c>
      <c r="F44" s="46" t="s">
        <v>248</v>
      </c>
      <c r="G44" s="30"/>
      <c r="H44" s="47" t="str">
        <f aca="false">IF(G44="","⬜ SIN DATOS",IF(G44&gt;=85,"✅ OK",IF(G44&gt;=40,"⚠️ ATENCIÓN","🚨 CRÍTICO")))</f>
        <v>⬜ SIN DATOS</v>
      </c>
      <c r="I44" s="48" t="s">
        <v>148</v>
      </c>
      <c r="J44" s="30"/>
      <c r="K44" s="49" t="s">
        <v>246</v>
      </c>
    </row>
    <row r="45" customFormat="false" ht="19.5" hidden="false" customHeight="true" outlineLevel="0" collapsed="false">
      <c r="B45" s="58" t="s">
        <v>37</v>
      </c>
      <c r="C45" s="59" t="s">
        <v>221</v>
      </c>
      <c r="D45" s="45" t="s">
        <v>244</v>
      </c>
      <c r="E45" s="30" t="s">
        <v>150</v>
      </c>
      <c r="F45" s="46" t="s">
        <v>248</v>
      </c>
      <c r="G45" s="30"/>
      <c r="H45" s="47" t="str">
        <f aca="false">IF(G45="","⬜ SIN DATOS",IF(G45&gt;=85,"✅ OK",IF(G45&gt;=40,"⚠️ ATENCIÓN","🚨 CRÍTICO")))</f>
        <v>⬜ SIN DATOS</v>
      </c>
      <c r="I45" s="48" t="s">
        <v>148</v>
      </c>
      <c r="J45" s="30"/>
      <c r="K45" s="49" t="s">
        <v>246</v>
      </c>
    </row>
    <row r="46" customFormat="false" ht="19.5" hidden="false" customHeight="true" outlineLevel="0" collapsed="false">
      <c r="B46" s="61" t="s">
        <v>164</v>
      </c>
      <c r="C46" s="62" t="s">
        <v>249</v>
      </c>
      <c r="D46" s="45" t="s">
        <v>250</v>
      </c>
      <c r="E46" s="30" t="s">
        <v>150</v>
      </c>
      <c r="F46" s="46" t="s">
        <v>251</v>
      </c>
      <c r="G46" s="30"/>
      <c r="H46" s="47" t="str">
        <f aca="false">IF(G46="","⬜ SIN DATOS",IF(G46&gt;=85,"✅ OK",IF(G46&gt;=40,"⚠️ ATENCIÓN","🚨 CRÍTICO")))</f>
        <v>⬜ SIN DATOS</v>
      </c>
      <c r="I46" s="48" t="s">
        <v>148</v>
      </c>
      <c r="J46" s="30"/>
      <c r="K46" s="49" t="s">
        <v>252</v>
      </c>
    </row>
    <row r="47" customFormat="false" ht="19.5" hidden="false" customHeight="true" outlineLevel="0" collapsed="false">
      <c r="B47" s="61" t="s">
        <v>164</v>
      </c>
      <c r="C47" s="62" t="s">
        <v>249</v>
      </c>
      <c r="D47" s="45" t="s">
        <v>253</v>
      </c>
      <c r="E47" s="30" t="s">
        <v>150</v>
      </c>
      <c r="F47" s="46" t="s">
        <v>213</v>
      </c>
      <c r="G47" s="30"/>
      <c r="H47" s="47" t="str">
        <f aca="false">IF(G47="","⬜ SIN DATOS",IF(G47&gt;=85,"✅ OK",IF(G47&gt;=40,"⚠️ ATENCIÓN","🚨 CRÍTICO")))</f>
        <v>⬜ SIN DATOS</v>
      </c>
      <c r="I47" s="48" t="s">
        <v>148</v>
      </c>
      <c r="J47" s="30"/>
      <c r="K47" s="49" t="s">
        <v>254</v>
      </c>
    </row>
    <row r="48" customFormat="false" ht="19.5" hidden="false" customHeight="true" outlineLevel="0" collapsed="false">
      <c r="B48" s="61" t="s">
        <v>164</v>
      </c>
      <c r="C48" s="62" t="s">
        <v>249</v>
      </c>
      <c r="D48" s="45" t="s">
        <v>255</v>
      </c>
      <c r="E48" s="30" t="s">
        <v>150</v>
      </c>
      <c r="F48" s="46" t="s">
        <v>256</v>
      </c>
      <c r="G48" s="30"/>
      <c r="H48" s="47" t="str">
        <f aca="false">IF(G48="","⬜ SIN DATOS",IF(G48&gt;=85,"✅ OK",IF(G48&gt;=40,"⚠️ ATENCIÓN","🚨 CRÍTICO")))</f>
        <v>⬜ SIN DATOS</v>
      </c>
      <c r="I48" s="48" t="s">
        <v>148</v>
      </c>
      <c r="J48" s="30"/>
      <c r="K48" s="49" t="s">
        <v>257</v>
      </c>
    </row>
    <row r="49" customFormat="false" ht="19.5" hidden="false" customHeight="true" outlineLevel="0" collapsed="false">
      <c r="B49" s="63" t="s">
        <v>34</v>
      </c>
      <c r="C49" s="62" t="s">
        <v>249</v>
      </c>
      <c r="D49" s="45" t="s">
        <v>258</v>
      </c>
      <c r="E49" s="30" t="s">
        <v>259</v>
      </c>
      <c r="F49" s="46" t="s">
        <v>260</v>
      </c>
      <c r="G49" s="32" t="n">
        <v>79</v>
      </c>
      <c r="H49" s="47" t="str">
        <f aca="false">IF(G49="","⬜ SIN DATOS",IF(G49&gt;=85,"✅ OK",IF(G49&gt;=40,"⚠️ ATENCIÓN","🚨 CRÍTICO")))</f>
        <v>⚠️ ATENCIÓN</v>
      </c>
      <c r="I49" s="48" t="s">
        <v>175</v>
      </c>
      <c r="J49" s="30"/>
      <c r="K49" s="49" t="s">
        <v>261</v>
      </c>
    </row>
    <row r="50" customFormat="false" ht="19.5" hidden="false" customHeight="true" outlineLevel="0" collapsed="false">
      <c r="B50" s="63" t="s">
        <v>35</v>
      </c>
      <c r="C50" s="62" t="s">
        <v>249</v>
      </c>
      <c r="D50" s="45" t="s">
        <v>258</v>
      </c>
      <c r="E50" s="30" t="s">
        <v>262</v>
      </c>
      <c r="F50" s="46" t="s">
        <v>263</v>
      </c>
      <c r="G50" s="32" t="n">
        <v>85</v>
      </c>
      <c r="H50" s="47" t="str">
        <f aca="false">IF(G50="","⬜ SIN DATOS",IF(G50&gt;=85,"✅ OK",IF(G50&gt;=40,"⚠️ ATENCIÓN","🚨 CRÍTICO")))</f>
        <v>✅ OK</v>
      </c>
      <c r="I50" s="48" t="s">
        <v>175</v>
      </c>
      <c r="J50" s="30"/>
      <c r="K50" s="49" t="s">
        <v>261</v>
      </c>
    </row>
    <row r="51" customFormat="false" ht="19.5" hidden="false" customHeight="true" outlineLevel="0" collapsed="false">
      <c r="B51" s="63" t="s">
        <v>36</v>
      </c>
      <c r="C51" s="62" t="s">
        <v>249</v>
      </c>
      <c r="D51" s="45" t="s">
        <v>258</v>
      </c>
      <c r="E51" s="30" t="s">
        <v>264</v>
      </c>
      <c r="F51" s="46" t="s">
        <v>265</v>
      </c>
      <c r="G51" s="32" t="n">
        <v>64</v>
      </c>
      <c r="H51" s="47" t="str">
        <f aca="false">IF(G51="","⬜ SIN DATOS",IF(G51&gt;=85,"✅ OK",IF(G51&gt;=40,"⚠️ ATENCIÓN","🚨 CRÍTICO")))</f>
        <v>⚠️ ATENCIÓN</v>
      </c>
      <c r="I51" s="48" t="s">
        <v>175</v>
      </c>
      <c r="J51" s="30"/>
      <c r="K51" s="49" t="s">
        <v>266</v>
      </c>
    </row>
    <row r="52" customFormat="false" ht="19.5" hidden="false" customHeight="true" outlineLevel="0" collapsed="false">
      <c r="B52" s="63" t="s">
        <v>37</v>
      </c>
      <c r="C52" s="62" t="s">
        <v>249</v>
      </c>
      <c r="D52" s="45" t="s">
        <v>258</v>
      </c>
      <c r="E52" s="30" t="s">
        <v>267</v>
      </c>
      <c r="F52" s="46" t="s">
        <v>268</v>
      </c>
      <c r="G52" s="32" t="n">
        <v>82</v>
      </c>
      <c r="H52" s="47" t="str">
        <f aca="false">IF(G52="","⬜ SIN DATOS",IF(G52&gt;=85,"✅ OK",IF(G52&gt;=40,"⚠️ ATENCIÓN","🚨 CRÍTICO")))</f>
        <v>⚠️ ATENCIÓN</v>
      </c>
      <c r="I52" s="48" t="s">
        <v>175</v>
      </c>
      <c r="J52" s="30"/>
      <c r="K52" s="49" t="s">
        <v>261</v>
      </c>
    </row>
    <row r="53" customFormat="false" ht="19.5" hidden="false" customHeight="true" outlineLevel="0" collapsed="false">
      <c r="B53" s="63" t="s">
        <v>34</v>
      </c>
      <c r="C53" s="62" t="s">
        <v>249</v>
      </c>
      <c r="D53" s="45" t="s">
        <v>116</v>
      </c>
      <c r="E53" s="30" t="s">
        <v>269</v>
      </c>
      <c r="F53" s="46" t="s">
        <v>270</v>
      </c>
      <c r="G53" s="32" t="n">
        <v>100</v>
      </c>
      <c r="H53" s="47" t="str">
        <f aca="false">IF(G53="","⬜ SIN DATOS",IF(G53&gt;=85,"✅ OK",IF(G53&gt;=40,"⚠️ ATENCIÓN","🚨 CRÍTICO")))</f>
        <v>✅ OK</v>
      </c>
      <c r="I53" s="48" t="s">
        <v>155</v>
      </c>
      <c r="J53" s="30"/>
      <c r="K53" s="49" t="s">
        <v>271</v>
      </c>
    </row>
    <row r="54" customFormat="false" ht="19.5" hidden="false" customHeight="true" outlineLevel="0" collapsed="false">
      <c r="B54" s="63" t="s">
        <v>35</v>
      </c>
      <c r="C54" s="62" t="s">
        <v>249</v>
      </c>
      <c r="D54" s="45" t="s">
        <v>116</v>
      </c>
      <c r="E54" s="30" t="s">
        <v>230</v>
      </c>
      <c r="F54" s="46" t="s">
        <v>272</v>
      </c>
      <c r="G54" s="32" t="n">
        <v>92</v>
      </c>
      <c r="H54" s="47" t="str">
        <f aca="false">IF(G54="","⬜ SIN DATOS",IF(G54&gt;=85,"✅ OK",IF(G54&gt;=40,"⚠️ ATENCIÓN","🚨 CRÍTICO")))</f>
        <v>✅ OK</v>
      </c>
      <c r="I54" s="48" t="s">
        <v>155</v>
      </c>
      <c r="J54" s="30"/>
      <c r="K54" s="49" t="s">
        <v>273</v>
      </c>
    </row>
    <row r="55" customFormat="false" ht="19.5" hidden="false" customHeight="true" outlineLevel="0" collapsed="false">
      <c r="B55" s="63" t="s">
        <v>36</v>
      </c>
      <c r="C55" s="62" t="s">
        <v>249</v>
      </c>
      <c r="D55" s="45" t="s">
        <v>116</v>
      </c>
      <c r="E55" s="30" t="s">
        <v>274</v>
      </c>
      <c r="F55" s="46" t="s">
        <v>275</v>
      </c>
      <c r="G55" s="32" t="n">
        <v>80</v>
      </c>
      <c r="H55" s="47" t="str">
        <f aca="false">IF(G55="","⬜ SIN DATOS",IF(G55&gt;=85,"✅ OK",IF(G55&gt;=40,"⚠️ ATENCIÓN","🚨 CRÍTICO")))</f>
        <v>⚠️ ATENCIÓN</v>
      </c>
      <c r="I55" s="48" t="s">
        <v>155</v>
      </c>
      <c r="J55" s="30"/>
      <c r="K55" s="49" t="s">
        <v>276</v>
      </c>
    </row>
    <row r="56" customFormat="false" ht="19.5" hidden="false" customHeight="true" outlineLevel="0" collapsed="false">
      <c r="B56" s="63" t="s">
        <v>37</v>
      </c>
      <c r="C56" s="62" t="s">
        <v>249</v>
      </c>
      <c r="D56" s="45" t="s">
        <v>116</v>
      </c>
      <c r="E56" s="30" t="s">
        <v>274</v>
      </c>
      <c r="F56" s="46" t="s">
        <v>275</v>
      </c>
      <c r="G56" s="32" t="n">
        <v>80</v>
      </c>
      <c r="H56" s="47" t="str">
        <f aca="false">IF(G56="","⬜ SIN DATOS",IF(G56&gt;=85,"✅ OK",IF(G56&gt;=40,"⚠️ ATENCIÓN","🚨 CRÍTICO")))</f>
        <v>⚠️ ATENCIÓN</v>
      </c>
      <c r="I56" s="48" t="s">
        <v>155</v>
      </c>
      <c r="J56" s="30"/>
      <c r="K56" s="49" t="s">
        <v>276</v>
      </c>
    </row>
    <row r="57" customFormat="false" ht="19.5" hidden="false" customHeight="true" outlineLevel="0" collapsed="false">
      <c r="B57" s="64" t="s">
        <v>164</v>
      </c>
      <c r="C57" s="65" t="s">
        <v>277</v>
      </c>
      <c r="D57" s="45" t="s">
        <v>278</v>
      </c>
      <c r="E57" s="30" t="s">
        <v>196</v>
      </c>
      <c r="F57" s="46" t="s">
        <v>197</v>
      </c>
      <c r="G57" s="32" t="n">
        <v>0</v>
      </c>
      <c r="H57" s="47" t="str">
        <f aca="false">IF(G57="","⬜ SIN DATOS",IF(G57&gt;=85,"✅ OK",IF(G57&gt;=40,"⚠️ ATENCIÓN","🚨 CRÍTICO")))</f>
        <v>🚨 CRÍTICO</v>
      </c>
      <c r="I57" s="48" t="s">
        <v>148</v>
      </c>
      <c r="J57" s="30"/>
      <c r="K57" s="49" t="s">
        <v>279</v>
      </c>
    </row>
    <row r="58" customFormat="false" ht="19.5" hidden="false" customHeight="true" outlineLevel="0" collapsed="false">
      <c r="B58" s="64" t="s">
        <v>164</v>
      </c>
      <c r="C58" s="65" t="s">
        <v>277</v>
      </c>
      <c r="D58" s="45" t="s">
        <v>280</v>
      </c>
      <c r="E58" s="30" t="s">
        <v>150</v>
      </c>
      <c r="F58" s="46" t="s">
        <v>281</v>
      </c>
      <c r="G58" s="32" t="n">
        <v>0</v>
      </c>
      <c r="H58" s="47" t="str">
        <f aca="false">IF(G58="","⬜ SIN DATOS",IF(G58&gt;=85,"✅ OK",IF(G58&gt;=40,"⚠️ ATENCIÓN","🚨 CRÍTICO")))</f>
        <v>🚨 CRÍTICO</v>
      </c>
      <c r="I58" s="48" t="s">
        <v>148</v>
      </c>
      <c r="J58" s="30"/>
      <c r="K58" s="49" t="s">
        <v>282</v>
      </c>
    </row>
    <row r="59" customFormat="false" ht="19.5" hidden="false" customHeight="true" outlineLevel="0" collapsed="false">
      <c r="B59" s="64" t="s">
        <v>164</v>
      </c>
      <c r="C59" s="65" t="s">
        <v>277</v>
      </c>
      <c r="D59" s="45" t="s">
        <v>283</v>
      </c>
      <c r="E59" s="30" t="s">
        <v>150</v>
      </c>
      <c r="F59" s="46" t="s">
        <v>284</v>
      </c>
      <c r="G59" s="30"/>
      <c r="H59" s="47" t="str">
        <f aca="false">IF(G59="","⬜ SIN DATOS",IF(G59&gt;=85,"✅ OK",IF(G59&gt;=40,"⚠️ ATENCIÓN","🚨 CRÍTICO")))</f>
        <v>⬜ SIN DATOS</v>
      </c>
      <c r="I59" s="48" t="s">
        <v>148</v>
      </c>
      <c r="J59" s="30"/>
      <c r="K59" s="49" t="s">
        <v>285</v>
      </c>
    </row>
    <row r="60" customFormat="false" ht="19.5" hidden="false" customHeight="true" outlineLevel="0" collapsed="false">
      <c r="B60" s="64" t="s">
        <v>164</v>
      </c>
      <c r="C60" s="65" t="s">
        <v>277</v>
      </c>
      <c r="D60" s="45" t="s">
        <v>286</v>
      </c>
      <c r="E60" s="30" t="s">
        <v>150</v>
      </c>
      <c r="F60" s="46" t="s">
        <v>287</v>
      </c>
      <c r="G60" s="30"/>
      <c r="H60" s="47" t="str">
        <f aca="false">IF(G60="","⬜ SIN DATOS",IF(G60&gt;=85,"✅ OK",IF(G60&gt;=40,"⚠️ ATENCIÓN","🚨 CRÍTICO")))</f>
        <v>⬜ SIN DATOS</v>
      </c>
      <c r="I60" s="48" t="s">
        <v>148</v>
      </c>
      <c r="J60" s="30"/>
      <c r="K60" s="49" t="s">
        <v>288</v>
      </c>
    </row>
    <row r="61" customFormat="false" ht="19.5" hidden="false" customHeight="true" outlineLevel="0" collapsed="false">
      <c r="B61" s="64" t="s">
        <v>164</v>
      </c>
      <c r="C61" s="65" t="s">
        <v>277</v>
      </c>
      <c r="D61" s="45" t="s">
        <v>289</v>
      </c>
      <c r="E61" s="30" t="s">
        <v>150</v>
      </c>
      <c r="F61" s="46" t="s">
        <v>290</v>
      </c>
      <c r="G61" s="30"/>
      <c r="H61" s="47" t="str">
        <f aca="false">IF(G61="","⬜ SIN DATOS",IF(G61&gt;=85,"✅ OK",IF(G61&gt;=40,"⚠️ ATENCIÓN","🚨 CRÍTICO")))</f>
        <v>⬜ SIN DATOS</v>
      </c>
      <c r="I61" s="48" t="s">
        <v>148</v>
      </c>
      <c r="J61" s="30"/>
      <c r="K61" s="49" t="s">
        <v>291</v>
      </c>
    </row>
  </sheetData>
  <mergeCells count="2">
    <mergeCell ref="B1:K1"/>
    <mergeCell ref="B2:K2"/>
  </mergeCells>
  <conditionalFormatting sqref="H4:H61">
    <cfRule type="containsText" priority="2" operator="containsText" aboveAverage="0" equalAverage="0" bottom="0" percent="0" rank="0" text="OK" dxfId="0">
      <formula>NOT(ISERROR(SEARCH("OK",H4)))</formula>
    </cfRule>
    <cfRule type="containsText" priority="3" operator="containsText" aboveAverage="0" equalAverage="0" bottom="0" percent="0" rank="0" text="ATENCIÓN" dxfId="1">
      <formula>NOT(ISERROR(SEARCH("ATENCIÓN",H4)))</formula>
    </cfRule>
    <cfRule type="containsText" priority="4" operator="containsText" aboveAverage="0" equalAverage="0" bottom="0" percent="0" rank="0" text="CRÍTICO" dxfId="2">
      <formula>NOT(ISERROR(SEARCH("CRÍTICO",H4)))</formula>
    </cfRule>
    <cfRule type="containsText" priority="5" operator="containsText" aboveAverage="0" equalAverage="0" bottom="0" percent="0" rank="0" text="SIN DATOS" dxfId="3">
      <formula>NOT(ISERROR(SEARCH("SIN DATOS",H4)))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9E75"/>
    <pageSetUpPr fitToPage="false"/>
  </sheetPr>
  <dimension ref="B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9" width="3"/>
    <col collapsed="false" customWidth="true" hidden="false" outlineLevel="0" max="2" min="2" style="19" width="36"/>
    <col collapsed="false" customWidth="true" hidden="false" outlineLevel="0" max="6" min="3" style="19" width="16"/>
    <col collapsed="false" customWidth="true" hidden="false" outlineLevel="0" max="7" min="7" style="19" width="18"/>
  </cols>
  <sheetData>
    <row r="1" customFormat="false" ht="42" hidden="false" customHeight="true" outlineLevel="0" collapsed="false">
      <c r="B1" s="20" t="s">
        <v>292</v>
      </c>
      <c r="C1" s="20"/>
      <c r="D1" s="20"/>
      <c r="E1" s="20"/>
      <c r="F1" s="20"/>
      <c r="G1" s="20"/>
    </row>
    <row r="2" customFormat="false" ht="18" hidden="false" customHeight="true" outlineLevel="0" collapsed="false">
      <c r="B2" s="66" t="s">
        <v>293</v>
      </c>
      <c r="C2" s="66"/>
      <c r="D2" s="66"/>
      <c r="E2" s="66"/>
      <c r="F2" s="66"/>
      <c r="G2" s="66"/>
    </row>
    <row r="3" customFormat="false" ht="25.5" hidden="false" customHeight="true" outlineLevel="0" collapsed="false">
      <c r="B3" s="25" t="s">
        <v>137</v>
      </c>
      <c r="C3" s="26" t="s">
        <v>34</v>
      </c>
      <c r="D3" s="27" t="s">
        <v>35</v>
      </c>
      <c r="E3" s="28" t="s">
        <v>36</v>
      </c>
      <c r="F3" s="26" t="s">
        <v>37</v>
      </c>
      <c r="G3" s="25" t="s">
        <v>294</v>
      </c>
    </row>
    <row r="4" customFormat="false" ht="21.75" hidden="false" customHeight="true" outlineLevel="0" collapsed="false">
      <c r="B4" s="5" t="s">
        <v>295</v>
      </c>
      <c r="C4" s="5"/>
      <c r="D4" s="5"/>
      <c r="E4" s="5"/>
      <c r="F4" s="5"/>
      <c r="G4" s="5"/>
    </row>
    <row r="5" customFormat="false" ht="18" hidden="false" customHeight="true" outlineLevel="0" collapsed="false">
      <c r="B5" s="67" t="s">
        <v>90</v>
      </c>
      <c r="C5" s="68" t="n">
        <f aca="false">'🏪 Datos Tiendas'!C4</f>
        <v>0</v>
      </c>
      <c r="D5" s="68" t="n">
        <f aca="false">'🏪 Datos Tiendas'!D4</f>
        <v>0</v>
      </c>
      <c r="E5" s="68" t="n">
        <f aca="false">'🏪 Datos Tiendas'!E4</f>
        <v>0</v>
      </c>
      <c r="F5" s="68" t="n">
        <f aca="false">'🏪 Datos Tiendas'!F4</f>
        <v>0</v>
      </c>
      <c r="G5" s="69"/>
    </row>
    <row r="6" customFormat="false" ht="18" hidden="false" customHeight="true" outlineLevel="0" collapsed="false">
      <c r="B6" s="67" t="s">
        <v>95</v>
      </c>
      <c r="C6" s="68" t="str">
        <f aca="false">'🏪 Datos Tiendas'!C5</f>
        <v>Tier 3</v>
      </c>
      <c r="D6" s="68" t="str">
        <f aca="false">'🏪 Datos Tiendas'!D5</f>
        <v>Tier 1/2</v>
      </c>
      <c r="E6" s="68" t="str">
        <f aca="false">'🏪 Datos Tiendas'!E5</f>
        <v>Tier 3+</v>
      </c>
      <c r="F6" s="68" t="str">
        <f aca="false">'🏪 Datos Tiendas'!F5</f>
        <v>Tier 2</v>
      </c>
      <c r="G6" s="69"/>
    </row>
    <row r="7" customFormat="false" ht="18" hidden="false" customHeight="true" outlineLevel="0" collapsed="false">
      <c r="B7" s="67" t="s">
        <v>296</v>
      </c>
      <c r="C7" s="70" t="n">
        <f aca="false">'🏪 Datos Tiendas'!C10</f>
        <v>41</v>
      </c>
      <c r="D7" s="70" t="n">
        <f aca="false">'🏪 Datos Tiendas'!D10</f>
        <v>55</v>
      </c>
      <c r="E7" s="70" t="n">
        <f aca="false">'🏪 Datos Tiendas'!E10</f>
        <v>20</v>
      </c>
      <c r="F7" s="70" t="n">
        <f aca="false">'🏪 Datos Tiendas'!F10</f>
        <v>55</v>
      </c>
      <c r="G7" s="71" t="n">
        <f aca="false">IFERROR(AVERAGE(C7,D7,E7,F7),"")</f>
        <v>42.75</v>
      </c>
    </row>
    <row r="8" customFormat="false" ht="18" hidden="false" customHeight="true" outlineLevel="0" collapsed="false">
      <c r="B8" s="67" t="s">
        <v>297</v>
      </c>
      <c r="C8" s="70" t="n">
        <f aca="false">'🏪 Datos Tiendas'!C12</f>
        <v>35.8</v>
      </c>
      <c r="D8" s="70" t="n">
        <f aca="false">'🏪 Datos Tiendas'!D12</f>
        <v>42.4</v>
      </c>
      <c r="E8" s="70" t="n">
        <f aca="false">'🏪 Datos Tiendas'!E12</f>
        <v>18.3</v>
      </c>
      <c r="F8" s="70" t="n">
        <f aca="false">'🏪 Datos Tiendas'!F12</f>
        <v>55.4</v>
      </c>
      <c r="G8" s="71" t="n">
        <f aca="false">IFERROR(AVERAGE(C8,D8,E8,F8),"")</f>
        <v>37.975</v>
      </c>
    </row>
    <row r="9" customFormat="false" ht="18" hidden="false" customHeight="true" outlineLevel="0" collapsed="false">
      <c r="B9" s="67" t="s">
        <v>298</v>
      </c>
      <c r="C9" s="70" t="n">
        <f aca="false">'🏪 Datos Tiendas'!C14</f>
        <v>70</v>
      </c>
      <c r="D9" s="70" t="n">
        <f aca="false">'🏪 Datos Tiendas'!D14</f>
        <v>70</v>
      </c>
      <c r="E9" s="70" t="n">
        <f aca="false">'🏪 Datos Tiendas'!E14</f>
        <v>30</v>
      </c>
      <c r="F9" s="70" t="n">
        <f aca="false">'🏪 Datos Tiendas'!F14</f>
        <v>70</v>
      </c>
      <c r="G9" s="71" t="n">
        <f aca="false">IFERROR(AVERAGE(C9,D9,E9,F9),"")</f>
        <v>60</v>
      </c>
    </row>
    <row r="10" customFormat="false" ht="18" hidden="false" customHeight="true" outlineLevel="0" collapsed="false">
      <c r="B10" s="67" t="s">
        <v>299</v>
      </c>
      <c r="C10" s="70" t="n">
        <f aca="false">'🏪 Datos Tiendas'!C15</f>
        <v>34.2</v>
      </c>
      <c r="D10" s="70" t="n">
        <f aca="false">'🏪 Datos Tiendas'!D15</f>
        <v>27.6</v>
      </c>
      <c r="E10" s="70" t="n">
        <f aca="false">'🏪 Datos Tiendas'!E15</f>
        <v>11.7</v>
      </c>
      <c r="F10" s="70" t="n">
        <f aca="false">'🏪 Datos Tiendas'!F15</f>
        <v>14.6</v>
      </c>
      <c r="G10" s="71" t="n">
        <f aca="false">IFERROR(AVERAGE(C10,D10,E10,F10),"")</f>
        <v>22.025</v>
      </c>
    </row>
    <row r="11" customFormat="false" ht="21.75" hidden="false" customHeight="true" outlineLevel="0" collapsed="false">
      <c r="B11" s="5" t="s">
        <v>300</v>
      </c>
      <c r="C11" s="5"/>
      <c r="D11" s="5"/>
      <c r="E11" s="5"/>
      <c r="F11" s="5"/>
      <c r="G11" s="5"/>
    </row>
    <row r="12" customFormat="false" ht="18" hidden="false" customHeight="true" outlineLevel="0" collapsed="false">
      <c r="B12" s="67" t="s">
        <v>301</v>
      </c>
      <c r="C12" s="70" t="n">
        <f aca="false">'🏪 Datos Tiendas'!C18</f>
        <v>19</v>
      </c>
      <c r="D12" s="70" t="n">
        <f aca="false">'🏪 Datos Tiendas'!D18</f>
        <v>24</v>
      </c>
      <c r="E12" s="70" t="n">
        <f aca="false">'🏪 Datos Tiendas'!E18</f>
        <v>43</v>
      </c>
      <c r="F12" s="70" t="n">
        <f aca="false">'🏪 Datos Tiendas'!F18</f>
        <v>42</v>
      </c>
      <c r="G12" s="71" t="n">
        <f aca="false">IFERROR(AVERAGE(C12,D12,E12,F12),"")</f>
        <v>32</v>
      </c>
    </row>
    <row r="13" customFormat="false" ht="18" hidden="false" customHeight="true" outlineLevel="0" collapsed="false">
      <c r="B13" s="67" t="s">
        <v>116</v>
      </c>
      <c r="C13" s="70" t="n">
        <f aca="false">'🏪 Datos Tiendas'!C19</f>
        <v>60</v>
      </c>
      <c r="D13" s="70" t="n">
        <f aca="false">'🏪 Datos Tiendas'!D19</f>
        <v>55</v>
      </c>
      <c r="E13" s="70" t="n">
        <f aca="false">'🏪 Datos Tiendas'!E19</f>
        <v>40</v>
      </c>
      <c r="F13" s="70" t="n">
        <f aca="false">'🏪 Datos Tiendas'!F19</f>
        <v>40</v>
      </c>
      <c r="G13" s="71" t="n">
        <f aca="false">IFERROR(AVERAGE(C13,D13,E13,F13),"")</f>
        <v>48.75</v>
      </c>
    </row>
    <row r="14" customFormat="false" ht="21.75" hidden="false" customHeight="true" outlineLevel="0" collapsed="false">
      <c r="B14" s="5" t="s">
        <v>302</v>
      </c>
      <c r="C14" s="5"/>
      <c r="D14" s="5"/>
      <c r="E14" s="5"/>
      <c r="F14" s="5"/>
      <c r="G14" s="5"/>
    </row>
    <row r="15" customFormat="false" ht="18" hidden="false" customHeight="true" outlineLevel="0" collapsed="false">
      <c r="B15" s="67" t="s">
        <v>303</v>
      </c>
      <c r="C15" s="72" t="n">
        <f aca="false">'🏪 Datos Tiendas'!C22</f>
        <v>1100</v>
      </c>
      <c r="D15" s="72" t="n">
        <f aca="false">'🏪 Datos Tiendas'!D22</f>
        <v>1276</v>
      </c>
      <c r="E15" s="72" t="n">
        <f aca="false">'🏪 Datos Tiendas'!E22</f>
        <v>575</v>
      </c>
      <c r="F15" s="72" t="n">
        <f aca="false">'🏪 Datos Tiendas'!F22</f>
        <v>1310</v>
      </c>
      <c r="G15" s="73" t="n">
        <f aca="false">IFERROR(SUM(C15,D15,E15,F15),"")</f>
        <v>4261</v>
      </c>
    </row>
    <row r="16" customFormat="false" ht="18" hidden="false" customHeight="true" outlineLevel="0" collapsed="false">
      <c r="B16" s="67" t="s">
        <v>121</v>
      </c>
      <c r="C16" s="72" t="n">
        <f aca="false">'🏪 Datos Tiendas'!C23</f>
        <v>4371.63</v>
      </c>
      <c r="D16" s="72" t="n">
        <f aca="false">'🏪 Datos Tiendas'!D23</f>
        <v>5104.3</v>
      </c>
      <c r="E16" s="72" t="n">
        <f aca="false">'🏪 Datos Tiendas'!E23</f>
        <v>2300.75</v>
      </c>
      <c r="F16" s="72" t="n">
        <f aca="false">'🏪 Datos Tiendas'!F23</f>
        <v>3263.6</v>
      </c>
      <c r="G16" s="73" t="n">
        <f aca="false">IFERROR(SUM(C16,D16,E16,F16),"")</f>
        <v>15040.28</v>
      </c>
    </row>
    <row r="17" customFormat="false" ht="18" hidden="false" customHeight="true" outlineLevel="0" collapsed="false">
      <c r="B17" s="67" t="s">
        <v>123</v>
      </c>
      <c r="C17" s="72" t="n">
        <f aca="false">'🏪 Datos Tiendas'!C24</f>
        <v>2438.2</v>
      </c>
      <c r="D17" s="72" t="n">
        <f aca="false">'🏪 Datos Tiendas'!D24</f>
        <v>3751.1</v>
      </c>
      <c r="E17" s="72" t="n">
        <f aca="false">'🏪 Datos Tiendas'!E24</f>
        <v>514.45</v>
      </c>
      <c r="F17" s="72" t="n">
        <f aca="false">'🏪 Datos Tiendas'!F24</f>
        <v>4056.24</v>
      </c>
      <c r="G17" s="73" t="n">
        <f aca="false">IFERROR(SUM(C17,D17,E17,F17),"")</f>
        <v>10759.99</v>
      </c>
    </row>
    <row r="18" customFormat="false" ht="18" hidden="false" customHeight="true" outlineLevel="0" collapsed="false">
      <c r="B18" s="67" t="s">
        <v>304</v>
      </c>
      <c r="C18" s="72" t="n">
        <f aca="false">'🏪 Datos Tiendas'!C25</f>
        <v>6809.83</v>
      </c>
      <c r="D18" s="72" t="n">
        <f aca="false">'🏪 Datos Tiendas'!D25</f>
        <v>8855.4</v>
      </c>
      <c r="E18" s="72" t="n">
        <f aca="false">'🏪 Datos Tiendas'!E25</f>
        <v>2815.2</v>
      </c>
      <c r="F18" s="72" t="n">
        <f aca="false">'🏪 Datos Tiendas'!F25</f>
        <v>7319.84</v>
      </c>
      <c r="G18" s="73" t="n">
        <f aca="false">IFERROR(SUM(C18,D18,E18,F18),"")</f>
        <v>25800.27</v>
      </c>
    </row>
  </sheetData>
  <mergeCells count="5">
    <mergeCell ref="B1:G1"/>
    <mergeCell ref="B2:G2"/>
    <mergeCell ref="B4:G4"/>
    <mergeCell ref="B11:G11"/>
    <mergeCell ref="B14:G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2D2D"/>
    <pageSetUpPr fitToPage="false"/>
  </sheetPr>
  <dimension ref="B1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9" width="3"/>
    <col collapsed="false" customWidth="true" hidden="false" outlineLevel="0" max="2" min="2" style="19" width="16"/>
    <col collapsed="false" customWidth="true" hidden="false" outlineLevel="0" max="3" min="3" style="19" width="36"/>
    <col collapsed="false" customWidth="true" hidden="false" outlineLevel="0" max="4" min="4" style="19" width="16"/>
    <col collapsed="false" customWidth="true" hidden="false" outlineLevel="0" max="7" min="5" style="19" width="14"/>
  </cols>
  <sheetData>
    <row r="1" customFormat="false" ht="42" hidden="false" customHeight="true" outlineLevel="0" collapsed="false">
      <c r="B1" s="74" t="s">
        <v>305</v>
      </c>
      <c r="C1" s="74"/>
      <c r="D1" s="74"/>
      <c r="E1" s="74"/>
      <c r="F1" s="74"/>
      <c r="G1" s="74"/>
    </row>
    <row r="2" customFormat="false" ht="18" hidden="false" customHeight="true" outlineLevel="0" collapsed="false">
      <c r="B2" s="75" t="s">
        <v>306</v>
      </c>
      <c r="C2" s="75"/>
      <c r="D2" s="75"/>
      <c r="E2" s="75"/>
      <c r="F2" s="75"/>
      <c r="G2" s="75"/>
    </row>
    <row r="3" customFormat="false" ht="25.5" hidden="false" customHeight="true" outlineLevel="0" collapsed="false">
      <c r="B3" s="25" t="s">
        <v>26</v>
      </c>
      <c r="C3" s="25" t="s">
        <v>307</v>
      </c>
      <c r="D3" s="25" t="s">
        <v>138</v>
      </c>
      <c r="E3" s="25" t="s">
        <v>308</v>
      </c>
      <c r="F3" s="25" t="s">
        <v>141</v>
      </c>
      <c r="G3" s="25" t="s">
        <v>309</v>
      </c>
    </row>
    <row r="4" customFormat="false" ht="21.75" hidden="false" customHeight="true" outlineLevel="0" collapsed="false">
      <c r="B4" s="76" t="s">
        <v>36</v>
      </c>
      <c r="C4" s="77" t="s">
        <v>310</v>
      </c>
      <c r="D4" s="78" t="n">
        <f aca="false">'🏪 Datos Tiendas'!E18</f>
        <v>43</v>
      </c>
      <c r="E4" s="79" t="s">
        <v>311</v>
      </c>
      <c r="F4" s="80" t="s">
        <v>73</v>
      </c>
      <c r="G4" s="81" t="s">
        <v>312</v>
      </c>
    </row>
    <row r="5" customFormat="false" ht="21.75" hidden="false" customHeight="true" outlineLevel="0" collapsed="false">
      <c r="B5" s="82" t="s">
        <v>37</v>
      </c>
      <c r="C5" s="83" t="s">
        <v>310</v>
      </c>
      <c r="D5" s="78" t="n">
        <f aca="false">'🏪 Datos Tiendas'!F18</f>
        <v>42</v>
      </c>
      <c r="E5" s="79" t="s">
        <v>311</v>
      </c>
      <c r="F5" s="84" t="s">
        <v>71</v>
      </c>
      <c r="G5" s="81" t="s">
        <v>313</v>
      </c>
    </row>
    <row r="6" customFormat="false" ht="21.75" hidden="false" customHeight="true" outlineLevel="0" collapsed="false">
      <c r="B6" s="82" t="s">
        <v>35</v>
      </c>
      <c r="C6" s="83" t="s">
        <v>310</v>
      </c>
      <c r="D6" s="78" t="n">
        <f aca="false">'🏪 Datos Tiendas'!D18</f>
        <v>24</v>
      </c>
      <c r="E6" s="79" t="s">
        <v>154</v>
      </c>
      <c r="F6" s="84" t="s">
        <v>71</v>
      </c>
      <c r="G6" s="81" t="s">
        <v>314</v>
      </c>
    </row>
    <row r="7" customFormat="false" ht="21.75" hidden="false" customHeight="true" outlineLevel="0" collapsed="false">
      <c r="B7" s="76" t="s">
        <v>36</v>
      </c>
      <c r="C7" s="77" t="s">
        <v>315</v>
      </c>
      <c r="D7" s="78" t="n">
        <f aca="false">'🏪 Datos Tiendas'!E15</f>
        <v>11.7</v>
      </c>
      <c r="E7" s="79" t="s">
        <v>316</v>
      </c>
      <c r="F7" s="80" t="s">
        <v>73</v>
      </c>
      <c r="G7" s="81" t="s">
        <v>317</v>
      </c>
    </row>
    <row r="8" customFormat="false" ht="21.75" hidden="false" customHeight="true" outlineLevel="0" collapsed="false">
      <c r="B8" s="82" t="s">
        <v>34</v>
      </c>
      <c r="C8" s="83" t="s">
        <v>315</v>
      </c>
      <c r="D8" s="78" t="n">
        <f aca="false">'🏪 Datos Tiendas'!C15</f>
        <v>34.2</v>
      </c>
      <c r="E8" s="79" t="s">
        <v>316</v>
      </c>
      <c r="F8" s="84" t="s">
        <v>71</v>
      </c>
      <c r="G8" s="81" t="s">
        <v>318</v>
      </c>
    </row>
    <row r="9" customFormat="false" ht="21.75" hidden="false" customHeight="true" outlineLevel="0" collapsed="false">
      <c r="B9" s="76" t="s">
        <v>319</v>
      </c>
      <c r="C9" s="77" t="s">
        <v>320</v>
      </c>
      <c r="D9" s="85" t="n">
        <f aca="false">'🏪 Datos Tiendas'!C29</f>
        <v>0</v>
      </c>
      <c r="E9" s="79" t="s">
        <v>321</v>
      </c>
      <c r="F9" s="80" t="s">
        <v>73</v>
      </c>
      <c r="G9" s="81" t="s">
        <v>322</v>
      </c>
    </row>
    <row r="10" customFormat="false" ht="21.75" hidden="false" customHeight="true" outlineLevel="0" collapsed="false">
      <c r="B10" s="76" t="s">
        <v>37</v>
      </c>
      <c r="C10" s="77" t="s">
        <v>323</v>
      </c>
      <c r="D10" s="85" t="s">
        <v>179</v>
      </c>
      <c r="E10" s="79" t="s">
        <v>180</v>
      </c>
      <c r="F10" s="80" t="s">
        <v>73</v>
      </c>
      <c r="G10" s="81" t="s">
        <v>324</v>
      </c>
    </row>
    <row r="11" customFormat="false" ht="21.75" hidden="false" customHeight="true" outlineLevel="0" collapsed="false">
      <c r="B11" s="76" t="s">
        <v>37</v>
      </c>
      <c r="C11" s="77" t="s">
        <v>325</v>
      </c>
      <c r="D11" s="85" t="s">
        <v>173</v>
      </c>
      <c r="E11" s="79" t="s">
        <v>174</v>
      </c>
      <c r="F11" s="80" t="s">
        <v>73</v>
      </c>
      <c r="G11" s="81" t="s">
        <v>326</v>
      </c>
    </row>
    <row r="12" customFormat="false" ht="21.75" hidden="false" customHeight="true" outlineLevel="0" collapsed="false">
      <c r="B12" s="76" t="s">
        <v>319</v>
      </c>
      <c r="C12" s="77" t="s">
        <v>327</v>
      </c>
      <c r="D12" s="85" t="s">
        <v>132</v>
      </c>
      <c r="E12" s="79" t="s">
        <v>328</v>
      </c>
      <c r="F12" s="80" t="s">
        <v>73</v>
      </c>
      <c r="G12" s="81" t="s">
        <v>329</v>
      </c>
    </row>
    <row r="13" customFormat="false" ht="21.75" hidden="false" customHeight="true" outlineLevel="0" collapsed="false">
      <c r="B13" s="82" t="s">
        <v>36</v>
      </c>
      <c r="C13" s="83" t="s">
        <v>330</v>
      </c>
      <c r="D13" s="85" t="s">
        <v>331</v>
      </c>
      <c r="E13" s="79" t="s">
        <v>265</v>
      </c>
      <c r="F13" s="84" t="s">
        <v>71</v>
      </c>
      <c r="G13" s="81" t="s">
        <v>332</v>
      </c>
    </row>
  </sheetData>
  <mergeCells count="2">
    <mergeCell ref="B1:G1"/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2026-03-31T06:33:14Z</dcterms:created>
  <dc:creator>openpyxl</dc:creator>
  <dc:description/>
  <dc:language>en-US</dc:language>
  <cp:lastModifiedBy/>
  <dcterms:modified xsi:type="dcterms:W3CDTF">2026-03-31T06:54:04Z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